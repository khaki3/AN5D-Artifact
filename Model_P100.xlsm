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filterPrivacy="1" backupFile="1" codeName="ThisWorkbook"/>
  <xr:revisionPtr revIDLastSave="0" documentId="13_ncr:1_{C547AA5C-BB6D-405F-830D-92EBA4E8B761}" xr6:coauthVersionLast="40" xr6:coauthVersionMax="40" xr10:uidLastSave="{00000000-0000-0000-0000-000000000000}"/>
  <bookViews>
    <workbookView xWindow="-108" yWindow="-108" windowWidth="30936" windowHeight="16896" tabRatio="370" firstSheet="2" activeTab="6" xr2:uid="{00000000-000D-0000-FFFF-FFFF00000000}"/>
  </bookViews>
  <sheets>
    <sheet name="GPUs" sheetId="3" r:id="rId1"/>
    <sheet name="Formula" sheetId="1" r:id="rId2"/>
    <sheet name="Macro" sheetId="2" r:id="rId3"/>
    <sheet name="Float Results" sheetId="4" r:id="rId4"/>
    <sheet name="Double Results" sheetId="5" r:id="rId5"/>
    <sheet name="Parameter Sweep" sheetId="6" r:id="rId6"/>
    <sheet name="Top Float" sheetId="7" r:id="rId7"/>
    <sheet name="Top Double" sheetId="8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D3" i="3" s="1"/>
  <c r="C2" i="3"/>
  <c r="D2" i="3" s="1"/>
  <c r="R12" i="2" l="1"/>
  <c r="R10" i="2"/>
  <c r="R22" i="2"/>
  <c r="R19" i="2" l="1"/>
  <c r="R20" i="2"/>
  <c r="R21" i="2"/>
  <c r="R18" i="2"/>
  <c r="R7" i="2"/>
  <c r="R8" i="2"/>
  <c r="R9" i="2"/>
  <c r="R6" i="2"/>
  <c r="R13" i="2" l="1"/>
  <c r="R11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" i="2"/>
  <c r="L14" i="1" l="1"/>
  <c r="N14" i="1" s="1"/>
  <c r="G22" i="2" l="1"/>
  <c r="O22" i="2" s="1"/>
  <c r="P22" i="2" s="1"/>
  <c r="A22" i="5"/>
  <c r="B22" i="5"/>
  <c r="C22" i="5"/>
  <c r="D22" i="5"/>
  <c r="E22" i="5"/>
  <c r="F22" i="5"/>
  <c r="G22" i="5"/>
  <c r="N22" i="5" s="1"/>
  <c r="H22" i="5"/>
  <c r="I22" i="5"/>
  <c r="J22" i="5"/>
  <c r="A10" i="5"/>
  <c r="B10" i="5"/>
  <c r="C10" i="5"/>
  <c r="D10" i="5"/>
  <c r="E10" i="5"/>
  <c r="F10" i="5"/>
  <c r="G10" i="5"/>
  <c r="H10" i="5"/>
  <c r="J10" i="5"/>
  <c r="A11" i="5"/>
  <c r="B11" i="5"/>
  <c r="C11" i="5"/>
  <c r="D11" i="5"/>
  <c r="E11" i="5"/>
  <c r="F11" i="5"/>
  <c r="G11" i="5"/>
  <c r="N11" i="5" s="1"/>
  <c r="H11" i="5"/>
  <c r="J11" i="5"/>
  <c r="A12" i="5"/>
  <c r="B12" i="5"/>
  <c r="C12" i="5"/>
  <c r="D12" i="5"/>
  <c r="E12" i="5"/>
  <c r="F12" i="5"/>
  <c r="G12" i="5"/>
  <c r="N12" i="5" s="1"/>
  <c r="H12" i="5"/>
  <c r="J12" i="5"/>
  <c r="A13" i="5"/>
  <c r="B13" i="5"/>
  <c r="C13" i="5"/>
  <c r="D13" i="5"/>
  <c r="E13" i="5"/>
  <c r="F13" i="5"/>
  <c r="G13" i="5"/>
  <c r="H13" i="5"/>
  <c r="J13" i="5"/>
  <c r="K22" i="4"/>
  <c r="A22" i="4"/>
  <c r="B22" i="4"/>
  <c r="C22" i="4"/>
  <c r="D22" i="4"/>
  <c r="E22" i="4"/>
  <c r="F22" i="4"/>
  <c r="G22" i="4"/>
  <c r="N22" i="4" s="1"/>
  <c r="H22" i="4"/>
  <c r="I22" i="4"/>
  <c r="J22" i="4"/>
  <c r="A10" i="4"/>
  <c r="B10" i="4"/>
  <c r="C10" i="4"/>
  <c r="D10" i="4"/>
  <c r="E10" i="4"/>
  <c r="F10" i="4"/>
  <c r="G10" i="4"/>
  <c r="H10" i="4"/>
  <c r="J10" i="4"/>
  <c r="A11" i="4"/>
  <c r="B11" i="4"/>
  <c r="C11" i="4"/>
  <c r="D11" i="4"/>
  <c r="E11" i="4"/>
  <c r="F11" i="4"/>
  <c r="G11" i="4"/>
  <c r="N11" i="4" s="1"/>
  <c r="H11" i="4"/>
  <c r="J11" i="4"/>
  <c r="A12" i="4"/>
  <c r="B12" i="4"/>
  <c r="C12" i="4"/>
  <c r="D12" i="4"/>
  <c r="E12" i="4"/>
  <c r="F12" i="4"/>
  <c r="G12" i="4"/>
  <c r="N12" i="4" s="1"/>
  <c r="H12" i="4"/>
  <c r="J12" i="4"/>
  <c r="A13" i="4"/>
  <c r="B13" i="4"/>
  <c r="C13" i="4"/>
  <c r="D13" i="4"/>
  <c r="E13" i="4"/>
  <c r="F13" i="4"/>
  <c r="G13" i="4"/>
  <c r="H13" i="4"/>
  <c r="J13" i="4"/>
  <c r="N10" i="2"/>
  <c r="N11" i="2"/>
  <c r="N12" i="2"/>
  <c r="N13" i="2"/>
  <c r="N22" i="2"/>
  <c r="A22" i="2"/>
  <c r="B22" i="2"/>
  <c r="C22" i="2"/>
  <c r="D22" i="2"/>
  <c r="E22" i="2"/>
  <c r="F22" i="2"/>
  <c r="H22" i="2"/>
  <c r="I22" i="2"/>
  <c r="J22" i="2"/>
  <c r="A10" i="2"/>
  <c r="B10" i="2"/>
  <c r="C10" i="2"/>
  <c r="D10" i="2"/>
  <c r="E10" i="2"/>
  <c r="F10" i="2"/>
  <c r="G10" i="2"/>
  <c r="O10" i="2" s="1"/>
  <c r="H10" i="2"/>
  <c r="J10" i="2"/>
  <c r="A11" i="2"/>
  <c r="B11" i="2"/>
  <c r="C11" i="2"/>
  <c r="D11" i="2"/>
  <c r="E11" i="2"/>
  <c r="F11" i="2"/>
  <c r="G11" i="2"/>
  <c r="O11" i="2" s="1"/>
  <c r="H11" i="2"/>
  <c r="J11" i="2"/>
  <c r="A12" i="2"/>
  <c r="B12" i="2"/>
  <c r="C12" i="2"/>
  <c r="D12" i="2"/>
  <c r="E12" i="2"/>
  <c r="F12" i="2"/>
  <c r="G12" i="2"/>
  <c r="O12" i="2" s="1"/>
  <c r="H12" i="2"/>
  <c r="J12" i="2"/>
  <c r="A13" i="2"/>
  <c r="B13" i="2"/>
  <c r="C13" i="2"/>
  <c r="D13" i="2"/>
  <c r="E13" i="2"/>
  <c r="F13" i="2"/>
  <c r="G13" i="2"/>
  <c r="H13" i="2"/>
  <c r="J13" i="2"/>
  <c r="AA22" i="1"/>
  <c r="Y22" i="1"/>
  <c r="W22" i="1"/>
  <c r="Q22" i="1"/>
  <c r="O22" i="1"/>
  <c r="P22" i="1" s="1"/>
  <c r="L22" i="1"/>
  <c r="N22" i="1" s="1"/>
  <c r="K22" i="1"/>
  <c r="AA10" i="1"/>
  <c r="AA11" i="1"/>
  <c r="AA12" i="1"/>
  <c r="AA13" i="1"/>
  <c r="Y10" i="1"/>
  <c r="Y11" i="1"/>
  <c r="Y12" i="1"/>
  <c r="Y13" i="1"/>
  <c r="W10" i="1"/>
  <c r="W11" i="1"/>
  <c r="W12" i="1"/>
  <c r="W13" i="1"/>
  <c r="Q10" i="1"/>
  <c r="Q11" i="1"/>
  <c r="Q12" i="1"/>
  <c r="Q13" i="1"/>
  <c r="O10" i="1"/>
  <c r="P10" i="1" s="1"/>
  <c r="O11" i="1"/>
  <c r="P11" i="1" s="1"/>
  <c r="O12" i="1"/>
  <c r="P12" i="1" s="1"/>
  <c r="O13" i="1"/>
  <c r="P13" i="1" s="1"/>
  <c r="K10" i="1"/>
  <c r="K11" i="1"/>
  <c r="K12" i="1"/>
  <c r="K13" i="1"/>
  <c r="K22" i="5" l="1"/>
  <c r="P22" i="5" s="1"/>
  <c r="S22" i="5" s="1"/>
  <c r="K12" i="5"/>
  <c r="L12" i="4"/>
  <c r="M12" i="4" s="1"/>
  <c r="L12" i="5"/>
  <c r="M12" i="5" s="1"/>
  <c r="M12" i="1"/>
  <c r="K12" i="4"/>
  <c r="K10" i="4"/>
  <c r="N10" i="4"/>
  <c r="K10" i="5"/>
  <c r="N10" i="5"/>
  <c r="L11" i="4"/>
  <c r="M11" i="4" s="1"/>
  <c r="M11" i="1"/>
  <c r="K11" i="4"/>
  <c r="L11" i="5"/>
  <c r="M11" i="5" s="1"/>
  <c r="K11" i="5"/>
  <c r="K13" i="4"/>
  <c r="P13" i="4" s="1"/>
  <c r="S13" i="4" s="1"/>
  <c r="N13" i="4"/>
  <c r="K13" i="5"/>
  <c r="P13" i="5" s="1"/>
  <c r="S13" i="5" s="1"/>
  <c r="N13" i="5"/>
  <c r="L13" i="5"/>
  <c r="M13" i="5" s="1"/>
  <c r="M13" i="1"/>
  <c r="U13" i="1" s="1"/>
  <c r="L13" i="4"/>
  <c r="M13" i="4" s="1"/>
  <c r="P11" i="2"/>
  <c r="O13" i="2"/>
  <c r="P13" i="2" s="1"/>
  <c r="L10" i="5"/>
  <c r="M10" i="5" s="1"/>
  <c r="L10" i="4"/>
  <c r="M10" i="4" s="1"/>
  <c r="M10" i="1"/>
  <c r="M22" i="1"/>
  <c r="U22" i="1" s="1"/>
  <c r="L22" i="4"/>
  <c r="M22" i="4" s="1"/>
  <c r="L22" i="5"/>
  <c r="M22" i="5" s="1"/>
  <c r="P22" i="4"/>
  <c r="S22" i="4" s="1"/>
  <c r="P10" i="2"/>
  <c r="P12" i="2"/>
  <c r="N3" i="2"/>
  <c r="N4" i="2"/>
  <c r="N5" i="2"/>
  <c r="N6" i="2"/>
  <c r="N7" i="2"/>
  <c r="N8" i="2"/>
  <c r="N9" i="2"/>
  <c r="N14" i="2"/>
  <c r="N15" i="2"/>
  <c r="N16" i="2"/>
  <c r="N17" i="2"/>
  <c r="N18" i="2"/>
  <c r="N19" i="2"/>
  <c r="N20" i="2"/>
  <c r="N21" i="2"/>
  <c r="N2" i="2"/>
  <c r="T22" i="1" l="1"/>
  <c r="U12" i="1"/>
  <c r="R12" i="1"/>
  <c r="S12" i="1"/>
  <c r="T12" i="1"/>
  <c r="R11" i="1"/>
  <c r="S11" i="1"/>
  <c r="T11" i="1"/>
  <c r="U11" i="1"/>
  <c r="S13" i="1"/>
  <c r="T13" i="1"/>
  <c r="R13" i="1"/>
  <c r="S10" i="1"/>
  <c r="R10" i="1"/>
  <c r="U10" i="1"/>
  <c r="T10" i="1"/>
  <c r="S22" i="1"/>
  <c r="R22" i="1"/>
  <c r="P12" i="5"/>
  <c r="S12" i="5" s="1"/>
  <c r="P12" i="4"/>
  <c r="S12" i="4" s="1"/>
  <c r="P11" i="5"/>
  <c r="S11" i="5" s="1"/>
  <c r="P11" i="4"/>
  <c r="S11" i="4" s="1"/>
  <c r="P10" i="5"/>
  <c r="S10" i="5" s="1"/>
  <c r="P10" i="4"/>
  <c r="S10" i="4" s="1"/>
  <c r="D2" i="1"/>
  <c r="J1" i="5"/>
  <c r="I1" i="5"/>
  <c r="H1" i="5"/>
  <c r="G1" i="5"/>
  <c r="F1" i="5"/>
  <c r="E1" i="5"/>
  <c r="D1" i="5"/>
  <c r="C1" i="5"/>
  <c r="B1" i="5"/>
  <c r="A1" i="5"/>
  <c r="Q22" i="4"/>
  <c r="Q11" i="4" l="1"/>
  <c r="Q10" i="4"/>
  <c r="Q13" i="4"/>
  <c r="Q12" i="4"/>
  <c r="X12" i="1"/>
  <c r="AB12" i="1" s="1"/>
  <c r="V12" i="1"/>
  <c r="V11" i="1"/>
  <c r="X11" i="1"/>
  <c r="AB11" i="1" s="1"/>
  <c r="X13" i="1"/>
  <c r="AB13" i="1" s="1"/>
  <c r="V13" i="1"/>
  <c r="V10" i="1"/>
  <c r="X10" i="1"/>
  <c r="AB10" i="1" s="1"/>
  <c r="V22" i="1"/>
  <c r="X22" i="1"/>
  <c r="AB22" i="1" s="1"/>
  <c r="D19" i="1"/>
  <c r="D19" i="2" s="1"/>
  <c r="D20" i="1"/>
  <c r="D20" i="2" s="1"/>
  <c r="D21" i="1"/>
  <c r="D21" i="2" s="1"/>
  <c r="D18" i="1"/>
  <c r="D18" i="2" s="1"/>
  <c r="D15" i="1"/>
  <c r="D16" i="1"/>
  <c r="D17" i="1"/>
  <c r="D17" i="2" s="1"/>
  <c r="D14" i="1"/>
  <c r="D14" i="2" s="1"/>
  <c r="D7" i="1"/>
  <c r="D8" i="1"/>
  <c r="D9" i="1"/>
  <c r="D9" i="2" s="1"/>
  <c r="D6" i="1"/>
  <c r="D6" i="2" s="1"/>
  <c r="D3" i="1"/>
  <c r="D4" i="1"/>
  <c r="D5" i="1"/>
  <c r="D5" i="2" s="1"/>
  <c r="D2" i="2"/>
  <c r="A1" i="4"/>
  <c r="B1" i="4"/>
  <c r="C1" i="4"/>
  <c r="D1" i="4"/>
  <c r="E1" i="4"/>
  <c r="F1" i="4"/>
  <c r="G1" i="4"/>
  <c r="H1" i="4"/>
  <c r="I1" i="4"/>
  <c r="J1" i="4"/>
  <c r="A2" i="2"/>
  <c r="B2" i="2"/>
  <c r="C2" i="2"/>
  <c r="E2" i="2"/>
  <c r="F2" i="2"/>
  <c r="G2" i="2"/>
  <c r="H2" i="2"/>
  <c r="H2" i="4" s="1"/>
  <c r="J2" i="2"/>
  <c r="A3" i="2"/>
  <c r="B3" i="2"/>
  <c r="C3" i="2"/>
  <c r="T3" i="2" s="1"/>
  <c r="D3" i="2"/>
  <c r="E3" i="2"/>
  <c r="F3" i="2"/>
  <c r="G3" i="2"/>
  <c r="H3" i="2"/>
  <c r="J3" i="2"/>
  <c r="A4" i="2"/>
  <c r="B4" i="2"/>
  <c r="C4" i="2"/>
  <c r="T4" i="2" s="1"/>
  <c r="D4" i="2"/>
  <c r="E4" i="2"/>
  <c r="F4" i="2"/>
  <c r="G4" i="2"/>
  <c r="H4" i="2"/>
  <c r="J4" i="2"/>
  <c r="A5" i="2"/>
  <c r="B5" i="2"/>
  <c r="C5" i="2"/>
  <c r="E5" i="2"/>
  <c r="F5" i="2"/>
  <c r="G5" i="2"/>
  <c r="H5" i="2"/>
  <c r="J5" i="2"/>
  <c r="A6" i="2"/>
  <c r="B6" i="2"/>
  <c r="C6" i="2"/>
  <c r="V6" i="2" s="1"/>
  <c r="E6" i="2"/>
  <c r="F6" i="2"/>
  <c r="G6" i="2"/>
  <c r="H6" i="2"/>
  <c r="J6" i="2"/>
  <c r="A7" i="2"/>
  <c r="B7" i="2"/>
  <c r="C7" i="2"/>
  <c r="T19" i="2" s="1"/>
  <c r="D7" i="2"/>
  <c r="E7" i="2"/>
  <c r="F7" i="2"/>
  <c r="G7" i="2"/>
  <c r="H7" i="2"/>
  <c r="J7" i="2"/>
  <c r="A8" i="2"/>
  <c r="B8" i="2"/>
  <c r="C8" i="2"/>
  <c r="V8" i="2" s="1"/>
  <c r="D8" i="2"/>
  <c r="E8" i="2"/>
  <c r="F8" i="2"/>
  <c r="G8" i="2"/>
  <c r="H8" i="2"/>
  <c r="J8" i="2"/>
  <c r="A9" i="2"/>
  <c r="B9" i="2"/>
  <c r="C9" i="2"/>
  <c r="E9" i="2"/>
  <c r="F9" i="2"/>
  <c r="G9" i="2"/>
  <c r="H9" i="2"/>
  <c r="J9" i="2"/>
  <c r="A14" i="2"/>
  <c r="B14" i="2"/>
  <c r="C14" i="2"/>
  <c r="E14" i="2"/>
  <c r="F14" i="2"/>
  <c r="G14" i="2"/>
  <c r="O14" i="2" s="1"/>
  <c r="H14" i="2"/>
  <c r="I14" i="2"/>
  <c r="J14" i="2"/>
  <c r="A15" i="2"/>
  <c r="B15" i="2"/>
  <c r="C15" i="2"/>
  <c r="D15" i="2"/>
  <c r="E15" i="2"/>
  <c r="F15" i="2"/>
  <c r="G15" i="2"/>
  <c r="O15" i="2" s="1"/>
  <c r="H15" i="2"/>
  <c r="I15" i="2"/>
  <c r="J15" i="2"/>
  <c r="A16" i="2"/>
  <c r="B16" i="2"/>
  <c r="C16" i="2"/>
  <c r="D16" i="2"/>
  <c r="E16" i="2"/>
  <c r="F16" i="2"/>
  <c r="G16" i="2"/>
  <c r="O16" i="2" s="1"/>
  <c r="H16" i="2"/>
  <c r="I16" i="2"/>
  <c r="J16" i="2"/>
  <c r="A17" i="2"/>
  <c r="B17" i="2"/>
  <c r="C17" i="2"/>
  <c r="T17" i="2" s="1"/>
  <c r="E17" i="2"/>
  <c r="F17" i="2"/>
  <c r="G17" i="2"/>
  <c r="O17" i="2" s="1"/>
  <c r="H17" i="2"/>
  <c r="I17" i="2"/>
  <c r="J17" i="2"/>
  <c r="A18" i="2"/>
  <c r="B18" i="2"/>
  <c r="C18" i="2"/>
  <c r="E18" i="2"/>
  <c r="F18" i="2"/>
  <c r="G18" i="2"/>
  <c r="H18" i="2"/>
  <c r="I18" i="2"/>
  <c r="J18" i="2"/>
  <c r="A19" i="2"/>
  <c r="B19" i="2"/>
  <c r="C19" i="2"/>
  <c r="V19" i="2" s="1"/>
  <c r="E19" i="2"/>
  <c r="F19" i="2"/>
  <c r="G19" i="2"/>
  <c r="O19" i="2" s="1"/>
  <c r="H19" i="2"/>
  <c r="I19" i="2"/>
  <c r="J19" i="2"/>
  <c r="A20" i="2"/>
  <c r="B20" i="2"/>
  <c r="C20" i="2"/>
  <c r="V20" i="2" s="1"/>
  <c r="E20" i="2"/>
  <c r="F20" i="2"/>
  <c r="G20" i="2"/>
  <c r="O20" i="2" s="1"/>
  <c r="H20" i="2"/>
  <c r="I20" i="2"/>
  <c r="J20" i="2"/>
  <c r="A21" i="2"/>
  <c r="B21" i="2"/>
  <c r="C21" i="2"/>
  <c r="E21" i="2"/>
  <c r="F21" i="2"/>
  <c r="G21" i="2"/>
  <c r="O21" i="2" s="1"/>
  <c r="H21" i="2"/>
  <c r="I21" i="2"/>
  <c r="J21" i="2"/>
  <c r="W15" i="1"/>
  <c r="W16" i="1"/>
  <c r="W17" i="1"/>
  <c r="W18" i="1"/>
  <c r="W19" i="1"/>
  <c r="W20" i="1"/>
  <c r="W21" i="1"/>
  <c r="W14" i="1"/>
  <c r="W3" i="1"/>
  <c r="W4" i="1"/>
  <c r="W5" i="1"/>
  <c r="W6" i="1"/>
  <c r="W7" i="1"/>
  <c r="W8" i="1"/>
  <c r="W9" i="1"/>
  <c r="W2" i="1"/>
  <c r="Q22" i="5" l="1"/>
  <c r="Q13" i="5"/>
  <c r="Q10" i="5"/>
  <c r="Q12" i="5"/>
  <c r="Q11" i="5"/>
  <c r="O12" i="5"/>
  <c r="R12" i="5" s="1"/>
  <c r="O12" i="4"/>
  <c r="R12" i="4" s="1"/>
  <c r="T12" i="4" s="1"/>
  <c r="U12" i="4" s="1"/>
  <c r="Q12" i="2"/>
  <c r="Z12" i="1"/>
  <c r="O11" i="5"/>
  <c r="R11" i="5" s="1"/>
  <c r="Z11" i="1"/>
  <c r="O11" i="4"/>
  <c r="R11" i="4" s="1"/>
  <c r="T11" i="4" s="1"/>
  <c r="U11" i="4" s="1"/>
  <c r="Q11" i="2"/>
  <c r="O13" i="4"/>
  <c r="R13" i="4" s="1"/>
  <c r="T13" i="4" s="1"/>
  <c r="U13" i="4" s="1"/>
  <c r="Z13" i="1"/>
  <c r="Q13" i="2"/>
  <c r="O13" i="5"/>
  <c r="R13" i="5" s="1"/>
  <c r="Z10" i="1"/>
  <c r="O10" i="5"/>
  <c r="R10" i="5" s="1"/>
  <c r="Q10" i="2"/>
  <c r="O10" i="4"/>
  <c r="R10" i="4" s="1"/>
  <c r="T10" i="4" s="1"/>
  <c r="U10" i="4" s="1"/>
  <c r="O18" i="2"/>
  <c r="G18" i="4"/>
  <c r="N18" i="4" s="1"/>
  <c r="Z22" i="1"/>
  <c r="O22" i="5"/>
  <c r="R22" i="5" s="1"/>
  <c r="O22" i="4"/>
  <c r="R22" i="4" s="1"/>
  <c r="T22" i="4" s="1"/>
  <c r="U22" i="4" s="1"/>
  <c r="Q22" i="2"/>
  <c r="T7" i="2"/>
  <c r="V7" i="2"/>
  <c r="U20" i="2"/>
  <c r="U8" i="2"/>
  <c r="U7" i="2"/>
  <c r="U19" i="2"/>
  <c r="T8" i="2"/>
  <c r="T18" i="2"/>
  <c r="C21" i="5"/>
  <c r="E20" i="4"/>
  <c r="E20" i="5"/>
  <c r="J19" i="4"/>
  <c r="J19" i="5"/>
  <c r="F19" i="4"/>
  <c r="F19" i="5"/>
  <c r="C18" i="4"/>
  <c r="C18" i="5"/>
  <c r="A17" i="4"/>
  <c r="A17" i="5"/>
  <c r="C16" i="4"/>
  <c r="C16" i="5"/>
  <c r="I15" i="4"/>
  <c r="I15" i="5"/>
  <c r="E15" i="4"/>
  <c r="E15" i="5"/>
  <c r="G14" i="5"/>
  <c r="N14" i="5" s="1"/>
  <c r="D9" i="5"/>
  <c r="A8" i="4"/>
  <c r="A8" i="5"/>
  <c r="B7" i="4"/>
  <c r="B7" i="5"/>
  <c r="B6" i="4"/>
  <c r="B6" i="5"/>
  <c r="R5" i="2"/>
  <c r="C5" i="5"/>
  <c r="H4" i="4"/>
  <c r="H4" i="5"/>
  <c r="J3" i="4"/>
  <c r="J3" i="5"/>
  <c r="A3" i="4"/>
  <c r="A3" i="5"/>
  <c r="F2" i="4"/>
  <c r="F2" i="5"/>
  <c r="J21" i="4"/>
  <c r="J21" i="5"/>
  <c r="B21" i="4"/>
  <c r="B21" i="5"/>
  <c r="C20" i="4"/>
  <c r="C20" i="5"/>
  <c r="E19" i="4"/>
  <c r="E19" i="5"/>
  <c r="F18" i="4"/>
  <c r="F18" i="5"/>
  <c r="H17" i="4"/>
  <c r="H17" i="5"/>
  <c r="J16" i="4"/>
  <c r="J16" i="5"/>
  <c r="B16" i="4"/>
  <c r="B16" i="5"/>
  <c r="D15" i="5"/>
  <c r="F14" i="4"/>
  <c r="F14" i="5"/>
  <c r="C9" i="5"/>
  <c r="D8" i="5"/>
  <c r="E7" i="4"/>
  <c r="E7" i="5"/>
  <c r="A7" i="4"/>
  <c r="A7" i="5"/>
  <c r="F6" i="4"/>
  <c r="F6" i="5"/>
  <c r="F5" i="4"/>
  <c r="F5" i="5"/>
  <c r="G4" i="5"/>
  <c r="N4" i="5" s="1"/>
  <c r="H3" i="4"/>
  <c r="H3" i="5"/>
  <c r="D3" i="5"/>
  <c r="E2" i="4"/>
  <c r="E2" i="5"/>
  <c r="I21" i="4"/>
  <c r="I21" i="5"/>
  <c r="E21" i="4"/>
  <c r="E21" i="5"/>
  <c r="A21" i="4"/>
  <c r="A21" i="5"/>
  <c r="G20" i="5"/>
  <c r="N20" i="5" s="1"/>
  <c r="B20" i="4"/>
  <c r="B20" i="5"/>
  <c r="H19" i="4"/>
  <c r="H19" i="5"/>
  <c r="C19" i="4"/>
  <c r="C19" i="5"/>
  <c r="I18" i="4"/>
  <c r="I18" i="5"/>
  <c r="E18" i="4"/>
  <c r="E18" i="5"/>
  <c r="A18" i="4"/>
  <c r="A18" i="5"/>
  <c r="G17" i="5"/>
  <c r="N17" i="5" s="1"/>
  <c r="R17" i="2"/>
  <c r="C17" i="5"/>
  <c r="I16" i="4"/>
  <c r="I16" i="5"/>
  <c r="E16" i="4"/>
  <c r="E16" i="5"/>
  <c r="A16" i="4"/>
  <c r="A16" i="5"/>
  <c r="G15" i="5"/>
  <c r="C15" i="4"/>
  <c r="C15" i="5"/>
  <c r="I14" i="4"/>
  <c r="I14" i="5"/>
  <c r="E14" i="4"/>
  <c r="E14" i="5"/>
  <c r="A14" i="4"/>
  <c r="A14" i="5"/>
  <c r="F9" i="4"/>
  <c r="F9" i="5"/>
  <c r="B9" i="4"/>
  <c r="B9" i="5"/>
  <c r="G8" i="5"/>
  <c r="N8" i="5" s="1"/>
  <c r="C8" i="4"/>
  <c r="C8" i="5"/>
  <c r="H7" i="4"/>
  <c r="H7" i="5"/>
  <c r="D7" i="5"/>
  <c r="J6" i="4"/>
  <c r="J6" i="5"/>
  <c r="E6" i="4"/>
  <c r="E6" i="5"/>
  <c r="J5" i="4"/>
  <c r="J5" i="5"/>
  <c r="E5" i="4"/>
  <c r="E5" i="5"/>
  <c r="A5" i="4"/>
  <c r="A5" i="5"/>
  <c r="F4" i="4"/>
  <c r="F4" i="5"/>
  <c r="B4" i="4"/>
  <c r="B4" i="5"/>
  <c r="G3" i="5"/>
  <c r="N3" i="5" s="1"/>
  <c r="C3" i="4"/>
  <c r="C3" i="5"/>
  <c r="H2" i="5"/>
  <c r="C2" i="4"/>
  <c r="C2" i="5"/>
  <c r="T2" i="2"/>
  <c r="T6" i="2"/>
  <c r="U6" i="2"/>
  <c r="T16" i="2"/>
  <c r="T21" i="2"/>
  <c r="U18" i="2"/>
  <c r="V18" i="2"/>
  <c r="D6" i="4"/>
  <c r="D6" i="5"/>
  <c r="G21" i="5"/>
  <c r="N21" i="5" s="1"/>
  <c r="I20" i="4"/>
  <c r="I20" i="5"/>
  <c r="A19" i="4"/>
  <c r="A19" i="5"/>
  <c r="G18" i="5"/>
  <c r="N18" i="5" s="1"/>
  <c r="I17" i="4"/>
  <c r="I17" i="5"/>
  <c r="E17" i="4"/>
  <c r="E17" i="5"/>
  <c r="G16" i="5"/>
  <c r="N16" i="5" s="1"/>
  <c r="A15" i="4"/>
  <c r="A15" i="5"/>
  <c r="C14" i="4"/>
  <c r="C14" i="5"/>
  <c r="H9" i="4"/>
  <c r="H9" i="5"/>
  <c r="J8" i="4"/>
  <c r="J8" i="5"/>
  <c r="E8" i="4"/>
  <c r="E8" i="5"/>
  <c r="F7" i="4"/>
  <c r="F7" i="5"/>
  <c r="G6" i="5"/>
  <c r="N6" i="5" s="1"/>
  <c r="G5" i="5"/>
  <c r="N5" i="5" s="1"/>
  <c r="D4" i="5"/>
  <c r="E3" i="4"/>
  <c r="E3" i="5"/>
  <c r="A2" i="4"/>
  <c r="A2" i="5"/>
  <c r="T14" i="2"/>
  <c r="D20" i="5"/>
  <c r="F21" i="4"/>
  <c r="F21" i="5"/>
  <c r="H20" i="4"/>
  <c r="H20" i="5"/>
  <c r="I19" i="4"/>
  <c r="I19" i="5"/>
  <c r="J18" i="4"/>
  <c r="J18" i="5"/>
  <c r="B18" i="4"/>
  <c r="B18" i="5"/>
  <c r="D17" i="5"/>
  <c r="F16" i="4"/>
  <c r="F16" i="5"/>
  <c r="H15" i="4"/>
  <c r="H15" i="5"/>
  <c r="J14" i="4"/>
  <c r="J14" i="5"/>
  <c r="B14" i="4"/>
  <c r="B14" i="5"/>
  <c r="G9" i="5"/>
  <c r="N9" i="5" s="1"/>
  <c r="H8" i="4"/>
  <c r="H8" i="5"/>
  <c r="J7" i="4"/>
  <c r="J7" i="5"/>
  <c r="A6" i="4"/>
  <c r="A6" i="5"/>
  <c r="B5" i="4"/>
  <c r="B5" i="5"/>
  <c r="C4" i="4"/>
  <c r="C4" i="5"/>
  <c r="J2" i="4"/>
  <c r="J2" i="5"/>
  <c r="D19" i="5"/>
  <c r="H21" i="4"/>
  <c r="H21" i="5"/>
  <c r="D21" i="5"/>
  <c r="J20" i="4"/>
  <c r="J20" i="5"/>
  <c r="F20" i="4"/>
  <c r="F20" i="5"/>
  <c r="A20" i="4"/>
  <c r="A20" i="5"/>
  <c r="G19" i="5"/>
  <c r="N19" i="5" s="1"/>
  <c r="B19" i="4"/>
  <c r="B19" i="5"/>
  <c r="H18" i="4"/>
  <c r="H18" i="5"/>
  <c r="D18" i="5"/>
  <c r="J17" i="4"/>
  <c r="J17" i="5"/>
  <c r="F17" i="4"/>
  <c r="F17" i="5"/>
  <c r="B17" i="4"/>
  <c r="B17" i="5"/>
  <c r="H16" i="4"/>
  <c r="H16" i="5"/>
  <c r="D16" i="5"/>
  <c r="J15" i="4"/>
  <c r="J15" i="5"/>
  <c r="F15" i="4"/>
  <c r="F15" i="5"/>
  <c r="B15" i="4"/>
  <c r="B15" i="5"/>
  <c r="H14" i="4"/>
  <c r="H14" i="5"/>
  <c r="D14" i="5"/>
  <c r="J9" i="4"/>
  <c r="J9" i="5"/>
  <c r="E9" i="4"/>
  <c r="E9" i="5"/>
  <c r="A9" i="4"/>
  <c r="A9" i="5"/>
  <c r="F8" i="4"/>
  <c r="F8" i="5"/>
  <c r="B8" i="4"/>
  <c r="B8" i="5"/>
  <c r="G7" i="5"/>
  <c r="N7" i="5" s="1"/>
  <c r="C7" i="4"/>
  <c r="C7" i="5"/>
  <c r="H6" i="4"/>
  <c r="H6" i="5"/>
  <c r="C6" i="4"/>
  <c r="C6" i="5"/>
  <c r="H5" i="4"/>
  <c r="H5" i="5"/>
  <c r="D5" i="5"/>
  <c r="J4" i="4"/>
  <c r="J4" i="5"/>
  <c r="E4" i="4"/>
  <c r="E4" i="5"/>
  <c r="A4" i="4"/>
  <c r="A4" i="5"/>
  <c r="F3" i="4"/>
  <c r="F3" i="5"/>
  <c r="B3" i="4"/>
  <c r="B3" i="5"/>
  <c r="G2" i="5"/>
  <c r="N2" i="5" s="1"/>
  <c r="B2" i="4"/>
  <c r="B2" i="5"/>
  <c r="T5" i="2"/>
  <c r="T9" i="2"/>
  <c r="U9" i="2"/>
  <c r="V9" i="2"/>
  <c r="T15" i="2"/>
  <c r="T20" i="2"/>
  <c r="U21" i="2"/>
  <c r="V21" i="2"/>
  <c r="D2" i="4"/>
  <c r="D2" i="5"/>
  <c r="R16" i="2"/>
  <c r="D5" i="4"/>
  <c r="D9" i="4"/>
  <c r="R4" i="2"/>
  <c r="D7" i="4"/>
  <c r="D3" i="4"/>
  <c r="D15" i="4"/>
  <c r="R3" i="2"/>
  <c r="R15" i="2"/>
  <c r="G21" i="4"/>
  <c r="N21" i="4" s="1"/>
  <c r="C21" i="4"/>
  <c r="G19" i="4"/>
  <c r="N19" i="4" s="1"/>
  <c r="G17" i="4"/>
  <c r="N17" i="4" s="1"/>
  <c r="C17" i="4"/>
  <c r="G15" i="4"/>
  <c r="N15" i="4" s="1"/>
  <c r="G9" i="4"/>
  <c r="N9" i="4" s="1"/>
  <c r="C9" i="4"/>
  <c r="G7" i="4"/>
  <c r="N7" i="4" s="1"/>
  <c r="G5" i="4"/>
  <c r="N5" i="4" s="1"/>
  <c r="C5" i="4"/>
  <c r="G3" i="4"/>
  <c r="N3" i="4" s="1"/>
  <c r="D21" i="4"/>
  <c r="D19" i="4"/>
  <c r="D17" i="4"/>
  <c r="R2" i="2"/>
  <c r="R14" i="2"/>
  <c r="D20" i="4"/>
  <c r="D18" i="4"/>
  <c r="D16" i="4"/>
  <c r="D14" i="4"/>
  <c r="D8" i="4"/>
  <c r="D4" i="4"/>
  <c r="G20" i="4"/>
  <c r="N20" i="4" s="1"/>
  <c r="G16" i="4"/>
  <c r="N16" i="4" s="1"/>
  <c r="G14" i="4"/>
  <c r="N14" i="4" s="1"/>
  <c r="G8" i="4"/>
  <c r="N8" i="4" s="1"/>
  <c r="G6" i="4"/>
  <c r="N6" i="4" s="1"/>
  <c r="G4" i="4"/>
  <c r="N4" i="4" s="1"/>
  <c r="G2" i="4"/>
  <c r="N2" i="4" s="1"/>
  <c r="Y4" i="1"/>
  <c r="Q16" i="5" l="1"/>
  <c r="N15" i="5"/>
  <c r="Q15" i="5" s="1"/>
  <c r="Q4" i="5"/>
  <c r="T22" i="5"/>
  <c r="U22" i="5" s="1"/>
  <c r="T10" i="5"/>
  <c r="U10" i="5" s="1"/>
  <c r="T13" i="5"/>
  <c r="U13" i="5" s="1"/>
  <c r="T11" i="5"/>
  <c r="U11" i="5" s="1"/>
  <c r="T12" i="5"/>
  <c r="U12" i="5" s="1"/>
  <c r="Q19" i="5"/>
  <c r="Q17" i="5"/>
  <c r="Q14" i="5"/>
  <c r="K15" i="5"/>
  <c r="P15" i="5" s="1"/>
  <c r="S15" i="5" s="1"/>
  <c r="K7" i="4"/>
  <c r="P7" i="4" s="1"/>
  <c r="S7" i="4" s="1"/>
  <c r="Q2" i="5"/>
  <c r="K8" i="4"/>
  <c r="P8" i="4" s="1"/>
  <c r="S8" i="4" s="1"/>
  <c r="Q3" i="4"/>
  <c r="K3" i="5"/>
  <c r="P3" i="5" s="1"/>
  <c r="S3" i="5" s="1"/>
  <c r="K18" i="5"/>
  <c r="P18" i="5" s="1"/>
  <c r="S18" i="5" s="1"/>
  <c r="K17" i="4"/>
  <c r="P17" i="4" s="1"/>
  <c r="S17" i="4" s="1"/>
  <c r="Q5" i="5"/>
  <c r="K7" i="5"/>
  <c r="P7" i="5" s="1"/>
  <c r="S7" i="5" s="1"/>
  <c r="Q5" i="4"/>
  <c r="Q20" i="5"/>
  <c r="K18" i="4"/>
  <c r="P18" i="4" s="1"/>
  <c r="S18" i="4" s="1"/>
  <c r="K20" i="5"/>
  <c r="P20" i="5" s="1"/>
  <c r="S20" i="5" s="1"/>
  <c r="K9" i="5"/>
  <c r="Q14" i="4"/>
  <c r="Q18" i="5"/>
  <c r="K15" i="4"/>
  <c r="Q4" i="4"/>
  <c r="K6" i="5"/>
  <c r="K19" i="5"/>
  <c r="P19" i="5" s="1"/>
  <c r="S19" i="5" s="1"/>
  <c r="K3" i="4"/>
  <c r="P3" i="4" s="1"/>
  <c r="S3" i="4" s="1"/>
  <c r="K8" i="5"/>
  <c r="K17" i="5"/>
  <c r="P17" i="5" s="1"/>
  <c r="S17" i="5" s="1"/>
  <c r="K16" i="5"/>
  <c r="P16" i="5" s="1"/>
  <c r="S16" i="5" s="1"/>
  <c r="K21" i="5"/>
  <c r="P21" i="5" s="1"/>
  <c r="S21" i="5" s="1"/>
  <c r="Q3" i="5"/>
  <c r="K4" i="5"/>
  <c r="K5" i="5"/>
  <c r="K14" i="5"/>
  <c r="P14" i="5" s="1"/>
  <c r="S14" i="5" s="1"/>
  <c r="K2" i="5"/>
  <c r="K4" i="4"/>
  <c r="P4" i="4" s="1"/>
  <c r="S4" i="4" s="1"/>
  <c r="K16" i="4"/>
  <c r="K14" i="4"/>
  <c r="K2" i="4"/>
  <c r="K9" i="4"/>
  <c r="K19" i="4"/>
  <c r="K21" i="4"/>
  <c r="K20" i="4"/>
  <c r="K5" i="4"/>
  <c r="K6" i="4"/>
  <c r="Q16" i="4"/>
  <c r="Q17" i="4"/>
  <c r="Q19" i="4"/>
  <c r="Q2" i="4"/>
  <c r="Q15" i="4"/>
  <c r="Y15" i="1"/>
  <c r="Y16" i="1"/>
  <c r="Y17" i="1"/>
  <c r="Y18" i="1"/>
  <c r="Y19" i="1"/>
  <c r="Y20" i="1"/>
  <c r="Y21" i="1"/>
  <c r="Y14" i="1"/>
  <c r="Y3" i="1"/>
  <c r="Y5" i="1"/>
  <c r="Y6" i="1"/>
  <c r="Y7" i="1"/>
  <c r="Y8" i="1"/>
  <c r="Y9" i="1"/>
  <c r="Y2" i="1"/>
  <c r="Q7" i="5" l="1"/>
  <c r="Q21" i="5"/>
  <c r="Q7" i="4"/>
  <c r="Q20" i="4"/>
  <c r="Q6" i="5"/>
  <c r="Q8" i="4"/>
  <c r="P5" i="5"/>
  <c r="S5" i="5" s="1"/>
  <c r="Q21" i="4"/>
  <c r="Q9" i="5"/>
  <c r="Q8" i="5"/>
  <c r="Q6" i="4"/>
  <c r="Q18" i="4"/>
  <c r="Q9" i="4"/>
  <c r="P9" i="5"/>
  <c r="S9" i="5" s="1"/>
  <c r="P15" i="4"/>
  <c r="S15" i="4" s="1"/>
  <c r="P6" i="5"/>
  <c r="S6" i="5" s="1"/>
  <c r="P8" i="5"/>
  <c r="S8" i="5" s="1"/>
  <c r="P2" i="5"/>
  <c r="S2" i="5" s="1"/>
  <c r="P4" i="5"/>
  <c r="S4" i="5" s="1"/>
  <c r="P5" i="4"/>
  <c r="S5" i="4" s="1"/>
  <c r="P16" i="4"/>
  <c r="S16" i="4" s="1"/>
  <c r="P2" i="4"/>
  <c r="S2" i="4" s="1"/>
  <c r="P21" i="4"/>
  <c r="S21" i="4" s="1"/>
  <c r="P19" i="4"/>
  <c r="S19" i="4" s="1"/>
  <c r="P14" i="4"/>
  <c r="S14" i="4" s="1"/>
  <c r="P9" i="4"/>
  <c r="S9" i="4" s="1"/>
  <c r="P6" i="4"/>
  <c r="S6" i="4" s="1"/>
  <c r="P20" i="4"/>
  <c r="S20" i="4" s="1"/>
  <c r="AA15" i="1"/>
  <c r="P15" i="2" s="1"/>
  <c r="AA16" i="1"/>
  <c r="P16" i="2" s="1"/>
  <c r="AA17" i="1"/>
  <c r="P17" i="2" s="1"/>
  <c r="AA18" i="1"/>
  <c r="P18" i="2" s="1"/>
  <c r="AA19" i="1"/>
  <c r="P19" i="2" s="1"/>
  <c r="AA20" i="1"/>
  <c r="P20" i="2" s="1"/>
  <c r="AA21" i="1"/>
  <c r="P21" i="2" s="1"/>
  <c r="AA14" i="1"/>
  <c r="P14" i="2" s="1"/>
  <c r="AA3" i="1"/>
  <c r="O3" i="2" s="1"/>
  <c r="P3" i="2" s="1"/>
  <c r="AA4" i="1"/>
  <c r="O4" i="2" s="1"/>
  <c r="P4" i="2" s="1"/>
  <c r="AA5" i="1"/>
  <c r="O5" i="2" s="1"/>
  <c r="P5" i="2" s="1"/>
  <c r="AA6" i="1"/>
  <c r="O6" i="2" s="1"/>
  <c r="P6" i="2" s="1"/>
  <c r="AA7" i="1"/>
  <c r="O7" i="2" s="1"/>
  <c r="P7" i="2" s="1"/>
  <c r="AA8" i="1"/>
  <c r="O8" i="2" s="1"/>
  <c r="P8" i="2" s="1"/>
  <c r="AA9" i="1"/>
  <c r="O9" i="2" s="1"/>
  <c r="P9" i="2" s="1"/>
  <c r="AA2" i="1"/>
  <c r="O2" i="2" s="1"/>
  <c r="P2" i="2" s="1"/>
  <c r="O3" i="1" l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" i="1"/>
  <c r="P2" i="1" s="1"/>
  <c r="Q3" i="1"/>
  <c r="Q4" i="1"/>
  <c r="Q5" i="1"/>
  <c r="Q6" i="1"/>
  <c r="Q7" i="1"/>
  <c r="Q8" i="1"/>
  <c r="Q9" i="1"/>
  <c r="Q14" i="1"/>
  <c r="Q15" i="1"/>
  <c r="Q16" i="1"/>
  <c r="Q17" i="1"/>
  <c r="Q18" i="1"/>
  <c r="Q19" i="1"/>
  <c r="Q20" i="1"/>
  <c r="Q21" i="1"/>
  <c r="Q2" i="1"/>
  <c r="L15" i="1" l="1"/>
  <c r="N15" i="1" s="1"/>
  <c r="L16" i="1"/>
  <c r="N16" i="1" s="1"/>
  <c r="L17" i="1"/>
  <c r="N17" i="1" s="1"/>
  <c r="L18" i="1"/>
  <c r="N18" i="1" s="1"/>
  <c r="L19" i="1"/>
  <c r="N19" i="1" s="1"/>
  <c r="L20" i="1"/>
  <c r="N20" i="1" s="1"/>
  <c r="L21" i="1"/>
  <c r="N21" i="1" s="1"/>
  <c r="K3" i="1"/>
  <c r="K4" i="1"/>
  <c r="K5" i="1"/>
  <c r="K6" i="1"/>
  <c r="K7" i="1"/>
  <c r="K8" i="1"/>
  <c r="K9" i="1"/>
  <c r="K14" i="1"/>
  <c r="K15" i="1"/>
  <c r="K16" i="1"/>
  <c r="K17" i="1"/>
  <c r="K18" i="1"/>
  <c r="K19" i="1"/>
  <c r="K20" i="1"/>
  <c r="K21" i="1"/>
  <c r="K2" i="1"/>
  <c r="L2" i="5" l="1"/>
  <c r="M2" i="5" s="1"/>
  <c r="L2" i="4"/>
  <c r="M2" i="4" s="1"/>
  <c r="L14" i="5"/>
  <c r="M14" i="5" s="1"/>
  <c r="L14" i="4"/>
  <c r="M14" i="4" s="1"/>
  <c r="L21" i="5"/>
  <c r="M21" i="5" s="1"/>
  <c r="L21" i="4"/>
  <c r="M21" i="4" s="1"/>
  <c r="L9" i="4"/>
  <c r="M9" i="4" s="1"/>
  <c r="L9" i="5"/>
  <c r="M9" i="5" s="1"/>
  <c r="L20" i="4"/>
  <c r="M20" i="4" s="1"/>
  <c r="L20" i="5"/>
  <c r="M20" i="5" s="1"/>
  <c r="L8" i="5"/>
  <c r="M8" i="5" s="1"/>
  <c r="L8" i="4"/>
  <c r="M8" i="4" s="1"/>
  <c r="L4" i="5"/>
  <c r="M4" i="5" s="1"/>
  <c r="L4" i="4"/>
  <c r="M4" i="4" s="1"/>
  <c r="L18" i="5"/>
  <c r="M18" i="5" s="1"/>
  <c r="L18" i="4"/>
  <c r="M18" i="4" s="1"/>
  <c r="L6" i="5"/>
  <c r="M6" i="5" s="1"/>
  <c r="L6" i="4"/>
  <c r="M6" i="4" s="1"/>
  <c r="L17" i="4"/>
  <c r="M17" i="4" s="1"/>
  <c r="L17" i="5"/>
  <c r="M17" i="5" s="1"/>
  <c r="L5" i="4"/>
  <c r="M5" i="4" s="1"/>
  <c r="L5" i="5"/>
  <c r="M5" i="5" s="1"/>
  <c r="L16" i="5"/>
  <c r="M16" i="5" s="1"/>
  <c r="L16" i="4"/>
  <c r="M16" i="4" s="1"/>
  <c r="L19" i="5"/>
  <c r="M19" i="5" s="1"/>
  <c r="L19" i="4"/>
  <c r="M19" i="4" s="1"/>
  <c r="L15" i="5"/>
  <c r="M15" i="5" s="1"/>
  <c r="L15" i="4"/>
  <c r="M15" i="4" s="1"/>
  <c r="L7" i="5"/>
  <c r="M7" i="5" s="1"/>
  <c r="L7" i="4"/>
  <c r="M7" i="4" s="1"/>
  <c r="L3" i="4"/>
  <c r="M3" i="4" s="1"/>
  <c r="L3" i="5"/>
  <c r="M3" i="5" s="1"/>
  <c r="M18" i="1"/>
  <c r="T18" i="1" s="1"/>
  <c r="M9" i="1"/>
  <c r="U9" i="1" s="1"/>
  <c r="M8" i="1"/>
  <c r="R8" i="1" s="1"/>
  <c r="M4" i="1"/>
  <c r="U4" i="1" s="1"/>
  <c r="M14" i="1"/>
  <c r="T14" i="1" s="1"/>
  <c r="M5" i="1"/>
  <c r="R5" i="1" s="1"/>
  <c r="M7" i="1"/>
  <c r="R7" i="1" s="1"/>
  <c r="M3" i="1"/>
  <c r="R3" i="1" s="1"/>
  <c r="M6" i="1"/>
  <c r="R6" i="1" s="1"/>
  <c r="M2" i="1"/>
  <c r="T2" i="1" s="1"/>
  <c r="M21" i="1"/>
  <c r="U21" i="1" s="1"/>
  <c r="M20" i="1"/>
  <c r="T20" i="1" s="1"/>
  <c r="M19" i="1"/>
  <c r="T19" i="1" s="1"/>
  <c r="M17" i="1"/>
  <c r="T17" i="1" s="1"/>
  <c r="M16" i="1"/>
  <c r="T16" i="1" s="1"/>
  <c r="M15" i="1"/>
  <c r="T15" i="1" s="1"/>
  <c r="T21" i="1" l="1"/>
  <c r="R14" i="1"/>
  <c r="U14" i="1"/>
  <c r="U16" i="1"/>
  <c r="U19" i="1"/>
  <c r="U15" i="1"/>
  <c r="U17" i="1"/>
  <c r="U20" i="1"/>
  <c r="U7" i="1"/>
  <c r="U18" i="1"/>
  <c r="U8" i="1"/>
  <c r="U5" i="1"/>
  <c r="U3" i="1"/>
  <c r="U6" i="1"/>
  <c r="U2" i="1"/>
  <c r="R2" i="1"/>
  <c r="T9" i="1"/>
  <c r="R9" i="1"/>
  <c r="T4" i="1"/>
  <c r="R4" i="1"/>
  <c r="S7" i="1"/>
  <c r="T7" i="1"/>
  <c r="S14" i="1"/>
  <c r="S8" i="1"/>
  <c r="S18" i="1"/>
  <c r="R18" i="1"/>
  <c r="S3" i="1"/>
  <c r="S5" i="1"/>
  <c r="T8" i="1"/>
  <c r="T3" i="1"/>
  <c r="T5" i="1"/>
  <c r="S4" i="1"/>
  <c r="S9" i="1"/>
  <c r="S6" i="1"/>
  <c r="T6" i="1"/>
  <c r="S2" i="1"/>
  <c r="S21" i="1"/>
  <c r="R21" i="1"/>
  <c r="S20" i="1"/>
  <c r="R20" i="1"/>
  <c r="R19" i="1"/>
  <c r="S19" i="1"/>
  <c r="R17" i="1"/>
  <c r="S17" i="1"/>
  <c r="R16" i="1"/>
  <c r="S16" i="1"/>
  <c r="R15" i="1"/>
  <c r="S15" i="1"/>
  <c r="X7" i="1" l="1"/>
  <c r="X8" i="1"/>
  <c r="AB8" i="1" s="1"/>
  <c r="X6" i="1"/>
  <c r="AB6" i="1" s="1"/>
  <c r="X3" i="1"/>
  <c r="AB3" i="1" s="1"/>
  <c r="X18" i="1"/>
  <c r="AB18" i="1" s="1"/>
  <c r="X17" i="1"/>
  <c r="AB17" i="1" s="1"/>
  <c r="X20" i="1"/>
  <c r="AB20" i="1" s="1"/>
  <c r="X5" i="1"/>
  <c r="AB5" i="1" s="1"/>
  <c r="X14" i="1"/>
  <c r="AB14" i="1" s="1"/>
  <c r="X4" i="1"/>
  <c r="AB4" i="1" s="1"/>
  <c r="X16" i="1"/>
  <c r="AB16" i="1" s="1"/>
  <c r="X15" i="1"/>
  <c r="AB15" i="1" s="1"/>
  <c r="X19" i="1"/>
  <c r="AB19" i="1" s="1"/>
  <c r="X2" i="1"/>
  <c r="AB2" i="1" s="1"/>
  <c r="X21" i="1"/>
  <c r="AB21" i="1" s="1"/>
  <c r="X9" i="1"/>
  <c r="AB9" i="1" s="1"/>
  <c r="V19" i="1"/>
  <c r="O19" i="5" s="1"/>
  <c r="R19" i="5" s="1"/>
  <c r="T19" i="5" s="1"/>
  <c r="V6" i="1"/>
  <c r="V4" i="1"/>
  <c r="V9" i="1"/>
  <c r="AB7" i="1"/>
  <c r="V15" i="1"/>
  <c r="O15" i="5" s="1"/>
  <c r="R15" i="5" s="1"/>
  <c r="T15" i="5" s="1"/>
  <c r="V21" i="1"/>
  <c r="O21" i="5" s="1"/>
  <c r="R21" i="5" s="1"/>
  <c r="T21" i="5" s="1"/>
  <c r="V2" i="1"/>
  <c r="V17" i="1"/>
  <c r="O17" i="5" s="1"/>
  <c r="R17" i="5" s="1"/>
  <c r="T17" i="5" s="1"/>
  <c r="V20" i="1"/>
  <c r="O20" i="5" s="1"/>
  <c r="R20" i="5" s="1"/>
  <c r="T20" i="5" s="1"/>
  <c r="V3" i="1"/>
  <c r="V8" i="1"/>
  <c r="V7" i="1"/>
  <c r="V16" i="1"/>
  <c r="O16" i="5" s="1"/>
  <c r="R16" i="5" s="1"/>
  <c r="T16" i="5" s="1"/>
  <c r="V5" i="1"/>
  <c r="V18" i="1"/>
  <c r="O18" i="5" s="1"/>
  <c r="R18" i="5" s="1"/>
  <c r="T18" i="5" s="1"/>
  <c r="V14" i="1"/>
  <c r="O14" i="5" s="1"/>
  <c r="R14" i="5" s="1"/>
  <c r="T14" i="5" s="1"/>
  <c r="Z5" i="1" l="1"/>
  <c r="Q5" i="2"/>
  <c r="O5" i="5"/>
  <c r="R5" i="5" s="1"/>
  <c r="T5" i="5" s="1"/>
  <c r="U5" i="5" s="1"/>
  <c r="O5" i="4"/>
  <c r="R5" i="4" s="1"/>
  <c r="T5" i="4" s="1"/>
  <c r="U5" i="4" s="1"/>
  <c r="Z3" i="1"/>
  <c r="O3" i="4"/>
  <c r="R3" i="4" s="1"/>
  <c r="T3" i="4" s="1"/>
  <c r="U3" i="4" s="1"/>
  <c r="O3" i="5"/>
  <c r="R3" i="5" s="1"/>
  <c r="T3" i="5" s="1"/>
  <c r="U3" i="5" s="1"/>
  <c r="Q3" i="2"/>
  <c r="Z21" i="1"/>
  <c r="Q21" i="2"/>
  <c r="O21" i="4"/>
  <c r="R21" i="4" s="1"/>
  <c r="T21" i="4" s="1"/>
  <c r="U21" i="4" s="1"/>
  <c r="U21" i="5"/>
  <c r="Z16" i="1"/>
  <c r="U16" i="5"/>
  <c r="O16" i="4"/>
  <c r="R16" i="4" s="1"/>
  <c r="T16" i="4" s="1"/>
  <c r="U16" i="4" s="1"/>
  <c r="Q16" i="2"/>
  <c r="Z20" i="1"/>
  <c r="Q20" i="2"/>
  <c r="O20" i="4"/>
  <c r="R20" i="4" s="1"/>
  <c r="T20" i="4" s="1"/>
  <c r="U20" i="4" s="1"/>
  <c r="U20" i="5"/>
  <c r="Z4" i="1"/>
  <c r="Q4" i="2"/>
  <c r="O4" i="5"/>
  <c r="R4" i="5" s="1"/>
  <c r="T4" i="5" s="1"/>
  <c r="U4" i="5" s="1"/>
  <c r="O4" i="4"/>
  <c r="R4" i="4" s="1"/>
  <c r="T4" i="4" s="1"/>
  <c r="U4" i="4" s="1"/>
  <c r="Z6" i="1"/>
  <c r="O6" i="4"/>
  <c r="R6" i="4" s="1"/>
  <c r="T6" i="4" s="1"/>
  <c r="U6" i="4" s="1"/>
  <c r="Q6" i="2"/>
  <c r="O6" i="5"/>
  <c r="R6" i="5" s="1"/>
  <c r="T6" i="5" s="1"/>
  <c r="U6" i="5" s="1"/>
  <c r="Z14" i="1"/>
  <c r="Q14" i="2"/>
  <c r="U14" i="5"/>
  <c r="O14" i="4"/>
  <c r="R14" i="4" s="1"/>
  <c r="T14" i="4" s="1"/>
  <c r="U14" i="4" s="1"/>
  <c r="Z7" i="1"/>
  <c r="O7" i="4"/>
  <c r="R7" i="4" s="1"/>
  <c r="T7" i="4" s="1"/>
  <c r="U7" i="4" s="1"/>
  <c r="O7" i="5"/>
  <c r="R7" i="5" s="1"/>
  <c r="T7" i="5" s="1"/>
  <c r="U7" i="5" s="1"/>
  <c r="Q7" i="2"/>
  <c r="Z17" i="1"/>
  <c r="Q17" i="2"/>
  <c r="U17" i="5"/>
  <c r="O17" i="4"/>
  <c r="R17" i="4" s="1"/>
  <c r="T17" i="4" s="1"/>
  <c r="U17" i="4" s="1"/>
  <c r="Z15" i="1"/>
  <c r="U15" i="5"/>
  <c r="Q15" i="2"/>
  <c r="O15" i="4"/>
  <c r="R15" i="4" s="1"/>
  <c r="T15" i="4" s="1"/>
  <c r="U15" i="4" s="1"/>
  <c r="Z9" i="1"/>
  <c r="Q9" i="2"/>
  <c r="O9" i="5"/>
  <c r="R9" i="5" s="1"/>
  <c r="T9" i="5" s="1"/>
  <c r="U9" i="5" s="1"/>
  <c r="O9" i="4"/>
  <c r="R9" i="4" s="1"/>
  <c r="T9" i="4" s="1"/>
  <c r="U9" i="4" s="1"/>
  <c r="Z18" i="1"/>
  <c r="O18" i="4"/>
  <c r="R18" i="4" s="1"/>
  <c r="T18" i="4" s="1"/>
  <c r="U18" i="4" s="1"/>
  <c r="Q18" i="2"/>
  <c r="U18" i="5"/>
  <c r="Z8" i="1"/>
  <c r="O8" i="4"/>
  <c r="R8" i="4" s="1"/>
  <c r="T8" i="4" s="1"/>
  <c r="U8" i="4" s="1"/>
  <c r="O8" i="5"/>
  <c r="R8" i="5" s="1"/>
  <c r="T8" i="5" s="1"/>
  <c r="U8" i="5" s="1"/>
  <c r="Q8" i="2"/>
  <c r="Z2" i="1"/>
  <c r="O2" i="4"/>
  <c r="R2" i="4" s="1"/>
  <c r="T2" i="4" s="1"/>
  <c r="U2" i="4" s="1"/>
  <c r="Q2" i="2"/>
  <c r="O2" i="5"/>
  <c r="R2" i="5" s="1"/>
  <c r="T2" i="5" s="1"/>
  <c r="U2" i="5" s="1"/>
  <c r="Z19" i="1"/>
  <c r="Q19" i="2"/>
  <c r="U19" i="5"/>
  <c r="O19" i="4"/>
  <c r="R19" i="4" s="1"/>
  <c r="T19" i="4" s="1"/>
  <c r="U19" i="4" s="1"/>
</calcChain>
</file>

<file path=xl/sharedStrings.xml><?xml version="1.0" encoding="utf-8"?>
<sst xmlns="http://schemas.openxmlformats.org/spreadsheetml/2006/main" count="450" uniqueCount="103">
  <si>
    <t>Stencil</t>
  </si>
  <si>
    <t>Radius</t>
  </si>
  <si>
    <t>Input Size</t>
  </si>
  <si>
    <t>Iteration Count</t>
  </si>
  <si>
    <t>Dimention</t>
  </si>
  <si>
    <t>bT</t>
  </si>
  <si>
    <t>bS1</t>
  </si>
  <si>
    <t>bS2</t>
  </si>
  <si>
    <t>sl</t>
  </si>
  <si>
    <t>cbS1</t>
  </si>
  <si>
    <t>cbS2</t>
  </si>
  <si>
    <t>bNum1</t>
  </si>
  <si>
    <t>bNum2</t>
  </si>
  <si>
    <t>FPP</t>
  </si>
  <si>
    <t>valid + redundant + boundary + out of bound</t>
  </si>
  <si>
    <t>block_num * block_size * stream_dim_size + redundant rows/planes due to stream blocking</t>
  </si>
  <si>
    <t>halo</t>
  </si>
  <si>
    <t>slNum</t>
  </si>
  <si>
    <t>big box - small box + overlapped blocking redundancy +  stream blocking redundancy</t>
  </si>
  <si>
    <t>input size</t>
  </si>
  <si>
    <t>total - boundary - out-of-bound = valid + overlap</t>
  </si>
  <si>
    <t>input size + non-redundant boundary</t>
  </si>
  <si>
    <t>total - out-of-bound = valid + boundary + overlap</t>
  </si>
  <si>
    <t>computed - valid</t>
  </si>
  <si>
    <t>Streaming Overlapped Rows/Planes for
t: 1 --&gt; bT</t>
  </si>
  <si>
    <t>(big box - small box + redundant due to blocking) * streaming dimension size including stream overlapping</t>
  </si>
  <si>
    <t>block_num * compute_block_size * stream_dim_size + redundant rows/planes due to stream blocking</t>
  </si>
  <si>
    <t>valid + redundant</t>
  </si>
  <si>
    <t>equal to total cells</t>
  </si>
  <si>
    <t>Total Threads for t: 1 --&gt; bT</t>
  </si>
  <si>
    <t>Out-of-bound Threads for t=bT</t>
  </si>
  <si>
    <t>Threads that Compute for t=bT</t>
  </si>
  <si>
    <t>Threads with Valid Computation for t=bT</t>
  </si>
  <si>
    <t>Threads with Redundant Computation for t=bT</t>
  </si>
  <si>
    <t>Boundary Threads for any
t ∈ [0,bT]</t>
  </si>
  <si>
    <t>Streaming Overlapped Rows/Planes for t=0</t>
  </si>
  <si>
    <t>Out-of-bound Threads for t=0</t>
  </si>
  <si>
    <t>(big box - small box + redundant due to blocking) * streaming dimension size with no stream overlapping</t>
  </si>
  <si>
    <t>Threads with Valid Memory Read for t=0</t>
  </si>
  <si>
    <t>Threads that Read from Memory for t=0</t>
  </si>
  <si>
    <t>Threads with Redundant Memory Read for t=0</t>
  </si>
  <si>
    <t>total read - valid</t>
  </si>
  <si>
    <t>Threads that Write to Memory for t=bT</t>
  </si>
  <si>
    <t>Total Threads that perform SM write for t: 1 --&gt; bT</t>
  </si>
  <si>
    <t>Total Threads that Read from SM and Compute for
t: 1 --&gt; bT</t>
  </si>
  <si>
    <t>V100</t>
  </si>
  <si>
    <t>Float Global Memory Bandwidth (GB/s)</t>
  </si>
  <si>
    <t>Double Global Memory Bandwidth (GB/s)</t>
  </si>
  <si>
    <t>Float Shared Memory Bandwidth (GB/s)</t>
  </si>
  <si>
    <t>Double Shared Memory Bandwidth (GB/s)</t>
  </si>
  <si>
    <t>Total Threads that Perform Valid Computation</t>
  </si>
  <si>
    <t>Compute Redundancy</t>
  </si>
  <si>
    <t>Memory Access Redundancy</t>
  </si>
  <si>
    <t>Double GFLOP/s</t>
  </si>
  <si>
    <t>Float GFLOP/s</t>
  </si>
  <si>
    <t>Total Global Memory Traffic (GB)</t>
  </si>
  <si>
    <t>SM Read Per Point</t>
  </si>
  <si>
    <t>SM Write Per Point</t>
  </si>
  <si>
    <t>ALU Efficiency</t>
  </si>
  <si>
    <t>FMA Per Thread</t>
  </si>
  <si>
    <t>MUL Per Thread</t>
  </si>
  <si>
    <t>Total Shared Memory Traffic (GB)</t>
  </si>
  <si>
    <t>Total GFLOPs</t>
  </si>
  <si>
    <t>Compute Time (s)</t>
  </si>
  <si>
    <t>Global Memory Transfer Time (s)</t>
  </si>
  <si>
    <t>Shared Memory Transfer Time (s)</t>
  </si>
  <si>
    <t>Expected Run Time (s)</t>
  </si>
  <si>
    <t>Expected Performance (GFLOP/s)</t>
  </si>
  <si>
    <t>Stream Blocks</t>
  </si>
  <si>
    <t>Number of Thread Blocks</t>
  </si>
  <si>
    <t>SM Count</t>
  </si>
  <si>
    <t>gradient2d</t>
  </si>
  <si>
    <t>j2d5pt</t>
  </si>
  <si>
    <t>j2d9pt-gol</t>
  </si>
  <si>
    <t>j2d9pt</t>
  </si>
  <si>
    <t>j3d27pt</t>
  </si>
  <si>
    <t>star2d1r</t>
  </si>
  <si>
    <t>star2d2r</t>
  </si>
  <si>
    <t>box2d1r</t>
  </si>
  <si>
    <t>box2d2r</t>
  </si>
  <si>
    <t>box2d3r</t>
  </si>
  <si>
    <t>box2d4r</t>
  </si>
  <si>
    <t>star3d1r</t>
  </si>
  <si>
    <t>star3d2r</t>
  </si>
  <si>
    <t>star3d3r</t>
  </si>
  <si>
    <t>star3d4r</t>
  </si>
  <si>
    <t>box3d1r</t>
  </si>
  <si>
    <t>box3d2r</t>
  </si>
  <si>
    <t>box3d3r</t>
  </si>
  <si>
    <t>box3d4r</t>
  </si>
  <si>
    <t>stencil</t>
  </si>
  <si>
    <t>Float Performance (GFLOP/s)</t>
  </si>
  <si>
    <t>Double Performance (GFLOP/s)</t>
  </si>
  <si>
    <t>star2d3r</t>
  </si>
  <si>
    <t>star2d4r</t>
  </si>
  <si>
    <t>Other Op Per Thread</t>
  </si>
  <si>
    <t>ADD/SUB Per Thread</t>
  </si>
  <si>
    <t>div --&gt; mul</t>
  </si>
  <si>
    <t>div --&gt; mul, add --&gt; fma</t>
  </si>
  <si>
    <t>MUL should be 9 but nvprof says 6</t>
  </si>
  <si>
    <t>Total Threads for t=0</t>
  </si>
  <si>
    <t>SM Occupancy</t>
  </si>
  <si>
    <t>P100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</si>
</sst>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</cellXfs>
  <cellStyles count="1">
    <cellStyle name="Normal" xfId="0" builtinId="0"/>
  </cellStyles>
  <dxfs count="10">
    <dxf>
      <fill>
        <patternFill>
          <bgColor rgb="FF8FFFC2"/>
        </patternFill>
      </fill>
    </dxf>
    <dxf>
      <fill>
        <patternFill>
          <bgColor rgb="FF16FF83"/>
        </patternFill>
      </fill>
    </dxf>
    <dxf>
      <fill>
        <patternFill>
          <bgColor rgb="FF00E266"/>
        </patternFill>
      </fill>
    </dxf>
    <dxf>
      <fill>
        <patternFill>
          <bgColor rgb="FF00B853"/>
        </patternFill>
      </fill>
    </dxf>
    <dxf>
      <fill>
        <patternFill>
          <bgColor rgb="FF007A37"/>
        </patternFill>
      </fill>
    </dxf>
    <dxf>
      <fill>
        <patternFill>
          <bgColor rgb="FF8FFFC2"/>
        </patternFill>
      </fill>
    </dxf>
    <dxf>
      <fill>
        <patternFill>
          <bgColor rgb="FF1DFF83"/>
        </patternFill>
      </fill>
    </dxf>
    <dxf>
      <fill>
        <patternFill>
          <bgColor rgb="FF00E266"/>
        </patternFill>
      </fill>
    </dxf>
    <dxf>
      <fill>
        <patternFill>
          <bgColor rgb="FF00B853"/>
        </patternFill>
      </fill>
    </dxf>
    <dxf>
      <fill>
        <patternFill>
          <bgColor rgb="FF007A37"/>
        </patternFill>
      </fill>
    </dxf>
  </dxfs>
  <tableStyles count="0" defaultTableStyle="TableStyleMedium2" defaultPivotStyle="PivotStyleLight16"/>
  <colors>
    <mruColors>
      <color rgb="FF007A37"/>
      <color rgb="FF8FFFC2"/>
      <color rgb="FF16FF83"/>
      <color rgb="FF00E266"/>
      <color rgb="FF00B853"/>
      <color rgb="FFA3FFCD"/>
      <color rgb="FF4BFF9C"/>
      <color rgb="FF00F26D"/>
      <color rgb="FF00B050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23</xdr:row>
          <xdr:rowOff>114300</xdr:rowOff>
        </xdr:from>
        <xdr:to>
          <xdr:col>6</xdr:col>
          <xdr:colOff>0</xdr:colOff>
          <xdr:row>23</xdr:row>
          <xdr:rowOff>762000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 Float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23</xdr:row>
          <xdr:rowOff>838200</xdr:rowOff>
        </xdr:from>
        <xdr:to>
          <xdr:col>6</xdr:col>
          <xdr:colOff>0</xdr:colOff>
          <xdr:row>23</xdr:row>
          <xdr:rowOff>1485900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 Double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23</xdr:row>
          <xdr:rowOff>1562100</xdr:rowOff>
        </xdr:from>
        <xdr:to>
          <xdr:col>6</xdr:col>
          <xdr:colOff>0</xdr:colOff>
          <xdr:row>24</xdr:row>
          <xdr:rowOff>594360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Parameter Sweep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24</xdr:row>
          <xdr:rowOff>670560</xdr:rowOff>
        </xdr:from>
        <xdr:to>
          <xdr:col>6</xdr:col>
          <xdr:colOff>0</xdr:colOff>
          <xdr:row>28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 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415BA-F0C4-45A2-9707-1091851F6EA4}">
  <sheetPr codeName="Sheet3"/>
  <dimension ref="A1:H4"/>
  <sheetViews>
    <sheetView workbookViewId="0">
      <selection activeCell="A4" sqref="A4:XFD4"/>
    </sheetView>
  </sheetViews>
  <sheetFormatPr defaultColWidth="8.88671875" defaultRowHeight="14.4" x14ac:dyDescent="0.3"/>
  <cols>
    <col min="1" max="2" width="8.88671875" style="1"/>
    <col min="3" max="3" width="8.33203125" style="1" customWidth="1"/>
    <col min="4" max="4" width="8.88671875" style="1"/>
    <col min="5" max="7" width="16.6640625" style="1" bestFit="1" customWidth="1"/>
    <col min="8" max="8" width="16.88671875" style="1" customWidth="1"/>
    <col min="9" max="16384" width="8.88671875" style="1"/>
  </cols>
  <sheetData>
    <row r="1" spans="1:8" ht="43.2" x14ac:dyDescent="0.3">
      <c r="B1" s="1" t="s">
        <v>70</v>
      </c>
      <c r="C1" s="3" t="s">
        <v>54</v>
      </c>
      <c r="D1" s="3" t="s">
        <v>53</v>
      </c>
      <c r="E1" s="3" t="s">
        <v>46</v>
      </c>
      <c r="F1" s="3" t="s">
        <v>47</v>
      </c>
      <c r="G1" s="3" t="s">
        <v>48</v>
      </c>
      <c r="H1" s="3" t="s">
        <v>49</v>
      </c>
    </row>
    <row r="2" spans="1:8" x14ac:dyDescent="0.3">
      <c r="A2" s="4" t="s">
        <v>102</v>
      </c>
      <c r="B2" s="1">
        <v>56</v>
      </c>
      <c r="C2" s="6">
        <f>2 * 64 * B2 * 1480 / 1000</f>
        <v>10608.64</v>
      </c>
      <c r="D2" s="6">
        <f>C2/2</f>
        <v>5304.32</v>
      </c>
      <c r="E2" s="1">
        <v>535</v>
      </c>
      <c r="F2" s="1">
        <v>540</v>
      </c>
      <c r="G2" s="1">
        <v>9700</v>
      </c>
      <c r="H2" s="1">
        <v>10150</v>
      </c>
    </row>
    <row r="3" spans="1:8" x14ac:dyDescent="0.3">
      <c r="A3" s="4" t="s">
        <v>45</v>
      </c>
      <c r="B3" s="1">
        <v>80</v>
      </c>
      <c r="C3" s="6">
        <f>2 * 64 * B3 * 1530 / 1000</f>
        <v>15667.2</v>
      </c>
      <c r="D3" s="6">
        <f>C3/2</f>
        <v>7833.6</v>
      </c>
      <c r="E3" s="1">
        <v>791</v>
      </c>
      <c r="F3" s="1">
        <v>805</v>
      </c>
      <c r="G3" s="1">
        <v>10650</v>
      </c>
      <c r="H3" s="1">
        <v>12750</v>
      </c>
    </row>
    <row r="4" spans="1:8" x14ac:dyDescent="0.3">
      <c r="A4" s="4"/>
      <c r="C4" s="6"/>
      <c r="D4" s="6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"/>
  <sheetViews>
    <sheetView topLeftCell="A7" workbookViewId="0">
      <selection activeCell="Q25" sqref="Q25"/>
    </sheetView>
  </sheetViews>
  <sheetFormatPr defaultColWidth="9.109375" defaultRowHeight="14.4" x14ac:dyDescent="0.3"/>
  <cols>
    <col min="1" max="1" width="9.6640625" style="1" bestFit="1" customWidth="1"/>
    <col min="2" max="2" width="9.44140625" style="1" bestFit="1" customWidth="1"/>
    <col min="3" max="3" width="6.33203125" style="1" bestFit="1" customWidth="1"/>
    <col min="4" max="4" width="5" style="1" bestFit="1" customWidth="1"/>
    <col min="5" max="5" width="8.6640625" style="1" bestFit="1" customWidth="1"/>
    <col min="6" max="6" width="8.109375" style="1" bestFit="1" customWidth="1"/>
    <col min="7" max="7" width="3" style="1" bestFit="1" customWidth="1"/>
    <col min="8" max="8" width="4" style="1" bestFit="1" customWidth="1"/>
    <col min="9" max="9" width="3.88671875" style="1" bestFit="1" customWidth="1"/>
    <col min="10" max="10" width="5" style="1" customWidth="1"/>
    <col min="11" max="12" width="4.6640625" style="1" bestFit="1" customWidth="1"/>
    <col min="13" max="14" width="6.88671875" style="1" bestFit="1" customWidth="1"/>
    <col min="15" max="15" width="6.109375" style="1" bestFit="1" customWidth="1"/>
    <col min="16" max="16" width="17.6640625" style="1" bestFit="1" customWidth="1"/>
    <col min="17" max="17" width="4.5546875" style="1" bestFit="1" customWidth="1"/>
    <col min="18" max="18" width="12.109375" style="1" bestFit="1" customWidth="1"/>
    <col min="19" max="19" width="13.6640625" style="1" bestFit="1" customWidth="1"/>
    <col min="20" max="20" width="13.5546875" style="1" customWidth="1"/>
    <col min="21" max="21" width="14.33203125" style="1" customWidth="1"/>
    <col min="22" max="22" width="14" style="1" bestFit="1" customWidth="1"/>
    <col min="23" max="23" width="15.33203125" style="1" bestFit="1" customWidth="1"/>
    <col min="24" max="25" width="12.33203125" style="1" bestFit="1" customWidth="1"/>
    <col min="26" max="26" width="17.33203125" style="1" bestFit="1" customWidth="1"/>
    <col min="27" max="27" width="16" style="1" bestFit="1" customWidth="1"/>
    <col min="28" max="28" width="18.88671875" style="1" bestFit="1" customWidth="1"/>
    <col min="29" max="29" width="21.5546875" style="1" customWidth="1"/>
    <col min="30" max="30" width="13.44140625" style="1" bestFit="1" customWidth="1"/>
    <col min="31" max="31" width="11.44140625" style="1" bestFit="1" customWidth="1"/>
    <col min="32" max="32" width="15.5546875" style="1" bestFit="1" customWidth="1"/>
    <col min="33" max="16384" width="9.109375" style="1"/>
  </cols>
  <sheetData>
    <row r="1" spans="1:39" ht="43.2" customHeight="1" x14ac:dyDescent="0.3">
      <c r="A1" s="1" t="s">
        <v>0</v>
      </c>
      <c r="B1" s="1" t="s">
        <v>4</v>
      </c>
      <c r="C1" s="1" t="s">
        <v>1</v>
      </c>
      <c r="D1" s="1" t="s">
        <v>13</v>
      </c>
      <c r="E1" s="1" t="s">
        <v>2</v>
      </c>
      <c r="F1" s="3" t="s">
        <v>3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17</v>
      </c>
      <c r="P1" s="3" t="s">
        <v>35</v>
      </c>
      <c r="Q1" s="1" t="s">
        <v>16</v>
      </c>
      <c r="R1" s="3" t="s">
        <v>100</v>
      </c>
      <c r="S1" s="3" t="s">
        <v>34</v>
      </c>
      <c r="T1" s="3" t="s">
        <v>36</v>
      </c>
      <c r="U1" s="3" t="s">
        <v>30</v>
      </c>
      <c r="V1" s="3" t="s">
        <v>39</v>
      </c>
      <c r="W1" s="3" t="s">
        <v>42</v>
      </c>
      <c r="X1" s="3" t="s">
        <v>31</v>
      </c>
      <c r="Y1" s="3" t="s">
        <v>38</v>
      </c>
      <c r="Z1" s="3" t="s">
        <v>40</v>
      </c>
      <c r="AA1" s="3" t="s">
        <v>32</v>
      </c>
      <c r="AB1" s="3" t="s">
        <v>33</v>
      </c>
      <c r="AC1" s="3"/>
      <c r="AD1" s="3"/>
      <c r="AE1" s="3"/>
      <c r="AF1" s="3"/>
    </row>
    <row r="2" spans="1:39" x14ac:dyDescent="0.3">
      <c r="A2" s="1" t="s">
        <v>76</v>
      </c>
      <c r="B2" s="1">
        <v>2</v>
      </c>
      <c r="C2" s="1">
        <v>1</v>
      </c>
      <c r="D2" s="1">
        <f>8*C2+1</f>
        <v>9</v>
      </c>
      <c r="E2" s="1">
        <v>16384</v>
      </c>
      <c r="F2" s="1">
        <v>1000</v>
      </c>
      <c r="G2" s="1">
        <v>16</v>
      </c>
      <c r="H2" s="1">
        <v>512</v>
      </c>
      <c r="J2" s="1">
        <v>1024</v>
      </c>
      <c r="K2" s="1">
        <f>H2-2*G2*C2</f>
        <v>480</v>
      </c>
      <c r="M2" s="1">
        <f>CEILING(E2/K2,1)</f>
        <v>35</v>
      </c>
      <c r="O2" s="1">
        <f>CEILING(E2/J2,1)</f>
        <v>16</v>
      </c>
      <c r="P2" s="1">
        <f t="shared" ref="P2:P22" si="0">2*G2*(O2-1)</f>
        <v>480</v>
      </c>
      <c r="Q2" s="1">
        <f>C2*G2</f>
        <v>16</v>
      </c>
      <c r="R2" s="2">
        <f>M$2*H$2*(E$2+2*C$2)+(M$2*H$2)*P$2</f>
        <v>302238720</v>
      </c>
      <c r="S2" s="2">
        <f>POWER(E2+2*C2,2)-POWER(E2,2)+2*C2*C2*(M2-1)+2*C2*P2</f>
        <v>66568</v>
      </c>
      <c r="T2" s="2">
        <f t="shared" ref="T2:T13" si="1">((K2*M2+2*Q2)-(E2+2*C2))*(E2+2*C2+P2)</f>
        <v>7522236</v>
      </c>
      <c r="U2" s="2">
        <f>((K2*M2+2*Q2)-(E2+2*C2))*(E2+2*C2)</f>
        <v>7308156</v>
      </c>
      <c r="V2" s="2">
        <f t="shared" ref="V2:V22" si="2">R2-T2</f>
        <v>294716484</v>
      </c>
      <c r="W2" s="2">
        <f>POWER(E2,2)</f>
        <v>268435456</v>
      </c>
      <c r="X2" s="2">
        <f>R2-S2-U2</f>
        <v>294863996</v>
      </c>
      <c r="Y2" s="2">
        <f t="shared" ref="Y2:Y13" si="3">POWER(E2+2*C2,2)</f>
        <v>268500996</v>
      </c>
      <c r="Z2" s="2">
        <f>V2-Y2</f>
        <v>26215488</v>
      </c>
      <c r="AA2" s="2">
        <f>POWER(E2,2)</f>
        <v>268435456</v>
      </c>
      <c r="AB2" s="2">
        <f t="shared" ref="AB2:AB22" si="4">X2-AA2</f>
        <v>26428540</v>
      </c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</row>
    <row r="3" spans="1:39" x14ac:dyDescent="0.3">
      <c r="A3" s="1" t="s">
        <v>77</v>
      </c>
      <c r="B3" s="1">
        <v>2</v>
      </c>
      <c r="C3" s="1">
        <v>2</v>
      </c>
      <c r="D3" s="1">
        <f t="shared" ref="D3:D5" si="5">8*C3+1</f>
        <v>17</v>
      </c>
      <c r="E3" s="1">
        <v>16384</v>
      </c>
      <c r="F3" s="1">
        <v>1000</v>
      </c>
      <c r="G3" s="1">
        <v>16</v>
      </c>
      <c r="H3" s="1">
        <v>512</v>
      </c>
      <c r="J3" s="1">
        <v>1024</v>
      </c>
      <c r="K3" s="1">
        <f t="shared" ref="K3:K22" si="6">H3-2*G3*C3</f>
        <v>448</v>
      </c>
      <c r="M3" s="1">
        <f t="shared" ref="M3:M22" si="7">CEILING(E3/K3,1)</f>
        <v>37</v>
      </c>
      <c r="O3" s="1">
        <f t="shared" ref="O3:O22" si="8">CEILING(E3/J3,1)</f>
        <v>16</v>
      </c>
      <c r="P3" s="1">
        <f t="shared" si="0"/>
        <v>480</v>
      </c>
      <c r="Q3" s="1">
        <f t="shared" ref="Q3:Q22" si="9">C3*G3</f>
        <v>32</v>
      </c>
      <c r="R3" s="2">
        <f t="shared" ref="R3:R13" si="10">M3*H3*(E3+2*C3)+(M3*H3)*P3</f>
        <v>319547392</v>
      </c>
      <c r="S3" s="2">
        <f t="shared" ref="S3:S13" si="11">POWER(E3+2*C3,2)-POWER(E3,2)+2*C3*C3*(M3-1)+2*C3*P3</f>
        <v>133296</v>
      </c>
      <c r="T3" s="2">
        <f t="shared" si="1"/>
        <v>4250736</v>
      </c>
      <c r="U3" s="2">
        <f t="shared" ref="U3:U13" si="12">((K3*M3+2*Q3)-(E3+2*C3))*(E3+2*C3)</f>
        <v>4129776</v>
      </c>
      <c r="V3" s="2">
        <f t="shared" si="2"/>
        <v>315296656</v>
      </c>
      <c r="W3" s="2">
        <f t="shared" ref="W3:W13" si="13">POWER(E3,2)</f>
        <v>268435456</v>
      </c>
      <c r="X3" s="2">
        <f t="shared" ref="X3:X22" si="14">R3-S3-U3</f>
        <v>315284320</v>
      </c>
      <c r="Y3" s="2">
        <f t="shared" si="3"/>
        <v>268566544</v>
      </c>
      <c r="Z3" s="2">
        <f t="shared" ref="Z3:Z22" si="15">V3-Y3</f>
        <v>46730112</v>
      </c>
      <c r="AA3" s="2">
        <f t="shared" ref="AA3:AA13" si="16">POWER(E3,2)</f>
        <v>268435456</v>
      </c>
      <c r="AB3" s="2">
        <f t="shared" si="4"/>
        <v>46848864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39" x14ac:dyDescent="0.3">
      <c r="A4" s="1" t="s">
        <v>93</v>
      </c>
      <c r="B4" s="1">
        <v>2</v>
      </c>
      <c r="C4" s="1">
        <v>3</v>
      </c>
      <c r="D4" s="1">
        <f t="shared" si="5"/>
        <v>25</v>
      </c>
      <c r="E4" s="1">
        <v>16384</v>
      </c>
      <c r="F4" s="1">
        <v>1000</v>
      </c>
      <c r="G4" s="1">
        <v>16</v>
      </c>
      <c r="H4" s="1">
        <v>512</v>
      </c>
      <c r="J4" s="1">
        <v>1024</v>
      </c>
      <c r="K4" s="1">
        <f t="shared" si="6"/>
        <v>416</v>
      </c>
      <c r="M4" s="1">
        <f t="shared" si="7"/>
        <v>40</v>
      </c>
      <c r="O4" s="1">
        <f t="shared" si="8"/>
        <v>16</v>
      </c>
      <c r="P4" s="1">
        <f t="shared" si="0"/>
        <v>480</v>
      </c>
      <c r="Q4" s="1">
        <f t="shared" si="9"/>
        <v>48</v>
      </c>
      <c r="R4" s="2">
        <f t="shared" si="10"/>
        <v>345497600</v>
      </c>
      <c r="S4" s="2">
        <f t="shared" si="11"/>
        <v>200226</v>
      </c>
      <c r="T4" s="2">
        <f t="shared" si="1"/>
        <v>5837020</v>
      </c>
      <c r="U4" s="2">
        <f t="shared" si="12"/>
        <v>5670940</v>
      </c>
      <c r="V4" s="2">
        <f t="shared" si="2"/>
        <v>339660580</v>
      </c>
      <c r="W4" s="2">
        <f t="shared" si="13"/>
        <v>268435456</v>
      </c>
      <c r="X4" s="2">
        <f t="shared" si="14"/>
        <v>339626434</v>
      </c>
      <c r="Y4" s="2">
        <f t="shared" si="3"/>
        <v>268632100</v>
      </c>
      <c r="Z4" s="2">
        <f t="shared" si="15"/>
        <v>71028480</v>
      </c>
      <c r="AA4" s="2">
        <f t="shared" si="16"/>
        <v>268435456</v>
      </c>
      <c r="AB4" s="2">
        <f t="shared" si="4"/>
        <v>71190978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</row>
    <row r="5" spans="1:39" x14ac:dyDescent="0.3">
      <c r="A5" s="1" t="s">
        <v>94</v>
      </c>
      <c r="B5" s="1">
        <v>2</v>
      </c>
      <c r="C5" s="1">
        <v>4</v>
      </c>
      <c r="D5" s="1">
        <f t="shared" si="5"/>
        <v>33</v>
      </c>
      <c r="E5" s="1">
        <v>16384</v>
      </c>
      <c r="F5" s="1">
        <v>1000</v>
      </c>
      <c r="G5" s="1">
        <v>16</v>
      </c>
      <c r="H5" s="1">
        <v>512</v>
      </c>
      <c r="J5" s="1">
        <v>1024</v>
      </c>
      <c r="K5" s="1">
        <f t="shared" si="6"/>
        <v>384</v>
      </c>
      <c r="M5" s="1">
        <f t="shared" si="7"/>
        <v>43</v>
      </c>
      <c r="O5" s="1">
        <f t="shared" si="8"/>
        <v>16</v>
      </c>
      <c r="P5" s="1">
        <f t="shared" si="0"/>
        <v>480</v>
      </c>
      <c r="Q5" s="1">
        <f t="shared" si="9"/>
        <v>64</v>
      </c>
      <c r="R5" s="2">
        <f t="shared" si="10"/>
        <v>371453952</v>
      </c>
      <c r="S5" s="2">
        <f t="shared" si="11"/>
        <v>267392</v>
      </c>
      <c r="T5" s="2">
        <f t="shared" si="1"/>
        <v>4184256</v>
      </c>
      <c r="U5" s="2">
        <f t="shared" si="12"/>
        <v>4065216</v>
      </c>
      <c r="V5" s="2">
        <f t="shared" si="2"/>
        <v>367269696</v>
      </c>
      <c r="W5" s="2">
        <f t="shared" si="13"/>
        <v>268435456</v>
      </c>
      <c r="X5" s="2">
        <f t="shared" si="14"/>
        <v>367121344</v>
      </c>
      <c r="Y5" s="2">
        <f t="shared" si="3"/>
        <v>268697664</v>
      </c>
      <c r="Z5" s="2">
        <f t="shared" si="15"/>
        <v>98572032</v>
      </c>
      <c r="AA5" s="2">
        <f t="shared" si="16"/>
        <v>268435456</v>
      </c>
      <c r="AB5" s="2">
        <f t="shared" si="4"/>
        <v>98685888</v>
      </c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</row>
    <row r="6" spans="1:39" x14ac:dyDescent="0.3">
      <c r="A6" s="1" t="s">
        <v>78</v>
      </c>
      <c r="B6" s="1">
        <v>2</v>
      </c>
      <c r="C6" s="1">
        <v>1</v>
      </c>
      <c r="D6" s="1">
        <f>2*POWER((2*C6+1),2)-1</f>
        <v>17</v>
      </c>
      <c r="E6" s="1">
        <v>16384</v>
      </c>
      <c r="F6" s="1">
        <v>1000</v>
      </c>
      <c r="G6" s="1">
        <v>16</v>
      </c>
      <c r="H6" s="1">
        <v>512</v>
      </c>
      <c r="J6" s="1">
        <v>1024</v>
      </c>
      <c r="K6" s="1">
        <f t="shared" si="6"/>
        <v>480</v>
      </c>
      <c r="M6" s="1">
        <f t="shared" si="7"/>
        <v>35</v>
      </c>
      <c r="O6" s="1">
        <f t="shared" si="8"/>
        <v>16</v>
      </c>
      <c r="P6" s="1">
        <f t="shared" si="0"/>
        <v>480</v>
      </c>
      <c r="Q6" s="1">
        <f t="shared" si="9"/>
        <v>16</v>
      </c>
      <c r="R6" s="2">
        <f t="shared" si="10"/>
        <v>302238720</v>
      </c>
      <c r="S6" s="2">
        <f t="shared" si="11"/>
        <v>66568</v>
      </c>
      <c r="T6" s="2">
        <f t="shared" si="1"/>
        <v>7522236</v>
      </c>
      <c r="U6" s="2">
        <f t="shared" si="12"/>
        <v>7308156</v>
      </c>
      <c r="V6" s="2">
        <f t="shared" si="2"/>
        <v>294716484</v>
      </c>
      <c r="W6" s="2">
        <f t="shared" si="13"/>
        <v>268435456</v>
      </c>
      <c r="X6" s="2">
        <f t="shared" si="14"/>
        <v>294863996</v>
      </c>
      <c r="Y6" s="2">
        <f t="shared" si="3"/>
        <v>268500996</v>
      </c>
      <c r="Z6" s="2">
        <f t="shared" si="15"/>
        <v>26215488</v>
      </c>
      <c r="AA6" s="2">
        <f t="shared" si="16"/>
        <v>268435456</v>
      </c>
      <c r="AB6" s="2">
        <f t="shared" si="4"/>
        <v>26428540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</row>
    <row r="7" spans="1:39" x14ac:dyDescent="0.3">
      <c r="A7" s="1" t="s">
        <v>79</v>
      </c>
      <c r="B7" s="1">
        <v>2</v>
      </c>
      <c r="C7" s="1">
        <v>2</v>
      </c>
      <c r="D7" s="1">
        <f t="shared" ref="D7:D9" si="17">2*POWER((2*C7+1),2)-1</f>
        <v>49</v>
      </c>
      <c r="E7" s="1">
        <v>16384</v>
      </c>
      <c r="F7" s="1">
        <v>1000</v>
      </c>
      <c r="G7" s="1">
        <v>16</v>
      </c>
      <c r="H7" s="1">
        <v>512</v>
      </c>
      <c r="J7" s="1">
        <v>1024</v>
      </c>
      <c r="K7" s="1">
        <f t="shared" si="6"/>
        <v>448</v>
      </c>
      <c r="M7" s="1">
        <f t="shared" si="7"/>
        <v>37</v>
      </c>
      <c r="O7" s="1">
        <f t="shared" si="8"/>
        <v>16</v>
      </c>
      <c r="P7" s="1">
        <f t="shared" si="0"/>
        <v>480</v>
      </c>
      <c r="Q7" s="1">
        <f t="shared" si="9"/>
        <v>32</v>
      </c>
      <c r="R7" s="2">
        <f t="shared" si="10"/>
        <v>319547392</v>
      </c>
      <c r="S7" s="2">
        <f t="shared" si="11"/>
        <v>133296</v>
      </c>
      <c r="T7" s="2">
        <f t="shared" si="1"/>
        <v>4250736</v>
      </c>
      <c r="U7" s="2">
        <f t="shared" si="12"/>
        <v>4129776</v>
      </c>
      <c r="V7" s="2">
        <f t="shared" si="2"/>
        <v>315296656</v>
      </c>
      <c r="W7" s="2">
        <f t="shared" si="13"/>
        <v>268435456</v>
      </c>
      <c r="X7" s="2">
        <f t="shared" si="14"/>
        <v>315284320</v>
      </c>
      <c r="Y7" s="2">
        <f t="shared" si="3"/>
        <v>268566544</v>
      </c>
      <c r="Z7" s="2">
        <f t="shared" si="15"/>
        <v>46730112</v>
      </c>
      <c r="AA7" s="2">
        <f t="shared" si="16"/>
        <v>268435456</v>
      </c>
      <c r="AB7" s="2">
        <f t="shared" si="4"/>
        <v>46848864</v>
      </c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</row>
    <row r="8" spans="1:39" x14ac:dyDescent="0.3">
      <c r="A8" s="1" t="s">
        <v>80</v>
      </c>
      <c r="B8" s="1">
        <v>2</v>
      </c>
      <c r="C8" s="1">
        <v>3</v>
      </c>
      <c r="D8" s="1">
        <f t="shared" si="17"/>
        <v>97</v>
      </c>
      <c r="E8" s="1">
        <v>16384</v>
      </c>
      <c r="F8" s="1">
        <v>1000</v>
      </c>
      <c r="G8" s="1">
        <v>16</v>
      </c>
      <c r="H8" s="1">
        <v>512</v>
      </c>
      <c r="J8" s="1">
        <v>1024</v>
      </c>
      <c r="K8" s="1">
        <f t="shared" si="6"/>
        <v>416</v>
      </c>
      <c r="M8" s="1">
        <f t="shared" si="7"/>
        <v>40</v>
      </c>
      <c r="O8" s="1">
        <f t="shared" si="8"/>
        <v>16</v>
      </c>
      <c r="P8" s="1">
        <f t="shared" si="0"/>
        <v>480</v>
      </c>
      <c r="Q8" s="1">
        <f t="shared" si="9"/>
        <v>48</v>
      </c>
      <c r="R8" s="2">
        <f t="shared" si="10"/>
        <v>345497600</v>
      </c>
      <c r="S8" s="2">
        <f t="shared" si="11"/>
        <v>200226</v>
      </c>
      <c r="T8" s="2">
        <f t="shared" si="1"/>
        <v>5837020</v>
      </c>
      <c r="U8" s="2">
        <f t="shared" si="12"/>
        <v>5670940</v>
      </c>
      <c r="V8" s="2">
        <f t="shared" si="2"/>
        <v>339660580</v>
      </c>
      <c r="W8" s="2">
        <f t="shared" si="13"/>
        <v>268435456</v>
      </c>
      <c r="X8" s="2">
        <f t="shared" si="14"/>
        <v>339626434</v>
      </c>
      <c r="Y8" s="2">
        <f t="shared" si="3"/>
        <v>268632100</v>
      </c>
      <c r="Z8" s="2">
        <f t="shared" si="15"/>
        <v>71028480</v>
      </c>
      <c r="AA8" s="2">
        <f t="shared" si="16"/>
        <v>268435456</v>
      </c>
      <c r="AB8" s="2">
        <f t="shared" si="4"/>
        <v>71190978</v>
      </c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</row>
    <row r="9" spans="1:39" x14ac:dyDescent="0.3">
      <c r="A9" s="1" t="s">
        <v>81</v>
      </c>
      <c r="B9" s="1">
        <v>2</v>
      </c>
      <c r="C9" s="1">
        <v>4</v>
      </c>
      <c r="D9" s="1">
        <f t="shared" si="17"/>
        <v>161</v>
      </c>
      <c r="E9" s="1">
        <v>16384</v>
      </c>
      <c r="F9" s="1">
        <v>1000</v>
      </c>
      <c r="G9" s="1">
        <v>16</v>
      </c>
      <c r="H9" s="1">
        <v>512</v>
      </c>
      <c r="J9" s="1">
        <v>1024</v>
      </c>
      <c r="K9" s="1">
        <f t="shared" si="6"/>
        <v>384</v>
      </c>
      <c r="M9" s="1">
        <f t="shared" si="7"/>
        <v>43</v>
      </c>
      <c r="O9" s="1">
        <f t="shared" si="8"/>
        <v>16</v>
      </c>
      <c r="P9" s="1">
        <f t="shared" si="0"/>
        <v>480</v>
      </c>
      <c r="Q9" s="1">
        <f t="shared" si="9"/>
        <v>64</v>
      </c>
      <c r="R9" s="2">
        <f t="shared" si="10"/>
        <v>371453952</v>
      </c>
      <c r="S9" s="2">
        <f t="shared" si="11"/>
        <v>267392</v>
      </c>
      <c r="T9" s="2">
        <f t="shared" si="1"/>
        <v>4184256</v>
      </c>
      <c r="U9" s="2">
        <f t="shared" si="12"/>
        <v>4065216</v>
      </c>
      <c r="V9" s="2">
        <f t="shared" si="2"/>
        <v>367269696</v>
      </c>
      <c r="W9" s="2">
        <f t="shared" si="13"/>
        <v>268435456</v>
      </c>
      <c r="X9" s="2">
        <f t="shared" si="14"/>
        <v>367121344</v>
      </c>
      <c r="Y9" s="2">
        <f t="shared" si="3"/>
        <v>268697664</v>
      </c>
      <c r="Z9" s="2">
        <f t="shared" si="15"/>
        <v>98572032</v>
      </c>
      <c r="AA9" s="2">
        <f t="shared" si="16"/>
        <v>268435456</v>
      </c>
      <c r="AB9" s="2">
        <f t="shared" si="4"/>
        <v>98685888</v>
      </c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</row>
    <row r="10" spans="1:39" x14ac:dyDescent="0.3">
      <c r="A10" s="1" t="s">
        <v>71</v>
      </c>
      <c r="B10" s="1">
        <v>2</v>
      </c>
      <c r="C10" s="1">
        <v>1</v>
      </c>
      <c r="D10" s="1">
        <v>19</v>
      </c>
      <c r="E10" s="1">
        <v>16384</v>
      </c>
      <c r="F10" s="1">
        <v>1000</v>
      </c>
      <c r="G10" s="1">
        <v>16</v>
      </c>
      <c r="H10" s="1">
        <v>512</v>
      </c>
      <c r="J10" s="1">
        <v>1024</v>
      </c>
      <c r="K10" s="1">
        <f t="shared" si="6"/>
        <v>480</v>
      </c>
      <c r="M10" s="1">
        <f t="shared" si="7"/>
        <v>35</v>
      </c>
      <c r="O10" s="1">
        <f t="shared" si="8"/>
        <v>16</v>
      </c>
      <c r="P10" s="1">
        <f t="shared" si="0"/>
        <v>480</v>
      </c>
      <c r="Q10" s="1">
        <f t="shared" si="9"/>
        <v>16</v>
      </c>
      <c r="R10" s="2">
        <f t="shared" si="10"/>
        <v>302238720</v>
      </c>
      <c r="S10" s="2">
        <f t="shared" si="11"/>
        <v>66568</v>
      </c>
      <c r="T10" s="2">
        <f t="shared" si="1"/>
        <v>7522236</v>
      </c>
      <c r="U10" s="2">
        <f t="shared" si="12"/>
        <v>7308156</v>
      </c>
      <c r="V10" s="2">
        <f t="shared" si="2"/>
        <v>294716484</v>
      </c>
      <c r="W10" s="2">
        <f t="shared" si="13"/>
        <v>268435456</v>
      </c>
      <c r="X10" s="2">
        <f t="shared" si="14"/>
        <v>294863996</v>
      </c>
      <c r="Y10" s="2">
        <f t="shared" si="3"/>
        <v>268500996</v>
      </c>
      <c r="Z10" s="2">
        <f t="shared" si="15"/>
        <v>26215488</v>
      </c>
      <c r="AA10" s="2">
        <f t="shared" si="16"/>
        <v>268435456</v>
      </c>
      <c r="AB10" s="2">
        <f t="shared" si="4"/>
        <v>26428540</v>
      </c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</row>
    <row r="11" spans="1:39" x14ac:dyDescent="0.3">
      <c r="A11" s="1" t="s">
        <v>72</v>
      </c>
      <c r="B11" s="1">
        <v>2</v>
      </c>
      <c r="C11" s="1">
        <v>1</v>
      </c>
      <c r="D11" s="1">
        <v>10</v>
      </c>
      <c r="E11" s="1">
        <v>16384</v>
      </c>
      <c r="F11" s="1">
        <v>1000</v>
      </c>
      <c r="G11" s="1">
        <v>16</v>
      </c>
      <c r="H11" s="1">
        <v>512</v>
      </c>
      <c r="J11" s="1">
        <v>1024</v>
      </c>
      <c r="K11" s="1">
        <f t="shared" si="6"/>
        <v>480</v>
      </c>
      <c r="M11" s="1">
        <f t="shared" si="7"/>
        <v>35</v>
      </c>
      <c r="O11" s="1">
        <f t="shared" si="8"/>
        <v>16</v>
      </c>
      <c r="P11" s="1">
        <f t="shared" si="0"/>
        <v>480</v>
      </c>
      <c r="Q11" s="1">
        <f t="shared" si="9"/>
        <v>16</v>
      </c>
      <c r="R11" s="2">
        <f t="shared" si="10"/>
        <v>302238720</v>
      </c>
      <c r="S11" s="2">
        <f t="shared" si="11"/>
        <v>66568</v>
      </c>
      <c r="T11" s="2">
        <f t="shared" si="1"/>
        <v>7522236</v>
      </c>
      <c r="U11" s="2">
        <f t="shared" si="12"/>
        <v>7308156</v>
      </c>
      <c r="V11" s="2">
        <f t="shared" si="2"/>
        <v>294716484</v>
      </c>
      <c r="W11" s="2">
        <f t="shared" si="13"/>
        <v>268435456</v>
      </c>
      <c r="X11" s="2">
        <f t="shared" si="14"/>
        <v>294863996</v>
      </c>
      <c r="Y11" s="2">
        <f t="shared" si="3"/>
        <v>268500996</v>
      </c>
      <c r="Z11" s="2">
        <f t="shared" si="15"/>
        <v>26215488</v>
      </c>
      <c r="AA11" s="2">
        <f t="shared" si="16"/>
        <v>268435456</v>
      </c>
      <c r="AB11" s="2">
        <f t="shared" si="4"/>
        <v>26428540</v>
      </c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</row>
    <row r="12" spans="1:39" x14ac:dyDescent="0.3">
      <c r="A12" s="1" t="s">
        <v>73</v>
      </c>
      <c r="B12" s="1">
        <v>2</v>
      </c>
      <c r="C12" s="1">
        <v>1</v>
      </c>
      <c r="D12" s="1">
        <v>18</v>
      </c>
      <c r="E12" s="1">
        <v>16384</v>
      </c>
      <c r="F12" s="1">
        <v>1000</v>
      </c>
      <c r="G12" s="1">
        <v>16</v>
      </c>
      <c r="H12" s="1">
        <v>512</v>
      </c>
      <c r="J12" s="1">
        <v>1024</v>
      </c>
      <c r="K12" s="1">
        <f t="shared" si="6"/>
        <v>480</v>
      </c>
      <c r="M12" s="1">
        <f t="shared" si="7"/>
        <v>35</v>
      </c>
      <c r="O12" s="1">
        <f t="shared" si="8"/>
        <v>16</v>
      </c>
      <c r="P12" s="1">
        <f t="shared" si="0"/>
        <v>480</v>
      </c>
      <c r="Q12" s="1">
        <f t="shared" si="9"/>
        <v>16</v>
      </c>
      <c r="R12" s="2">
        <f t="shared" si="10"/>
        <v>302238720</v>
      </c>
      <c r="S12" s="2">
        <f t="shared" si="11"/>
        <v>66568</v>
      </c>
      <c r="T12" s="2">
        <f t="shared" si="1"/>
        <v>7522236</v>
      </c>
      <c r="U12" s="2">
        <f t="shared" si="12"/>
        <v>7308156</v>
      </c>
      <c r="V12" s="2">
        <f t="shared" si="2"/>
        <v>294716484</v>
      </c>
      <c r="W12" s="2">
        <f t="shared" si="13"/>
        <v>268435456</v>
      </c>
      <c r="X12" s="2">
        <f t="shared" si="14"/>
        <v>294863996</v>
      </c>
      <c r="Y12" s="2">
        <f t="shared" si="3"/>
        <v>268500996</v>
      </c>
      <c r="Z12" s="2">
        <f t="shared" si="15"/>
        <v>26215488</v>
      </c>
      <c r="AA12" s="2">
        <f t="shared" si="16"/>
        <v>268435456</v>
      </c>
      <c r="AB12" s="2">
        <f t="shared" si="4"/>
        <v>26428540</v>
      </c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</row>
    <row r="13" spans="1:39" x14ac:dyDescent="0.3">
      <c r="A13" s="1" t="s">
        <v>74</v>
      </c>
      <c r="B13" s="1">
        <v>2</v>
      </c>
      <c r="C13" s="1">
        <v>2</v>
      </c>
      <c r="D13" s="1">
        <v>18</v>
      </c>
      <c r="E13" s="1">
        <v>16384</v>
      </c>
      <c r="F13" s="1">
        <v>1000</v>
      </c>
      <c r="G13" s="1">
        <v>16</v>
      </c>
      <c r="H13" s="1">
        <v>512</v>
      </c>
      <c r="J13" s="1">
        <v>1024</v>
      </c>
      <c r="K13" s="1">
        <f t="shared" si="6"/>
        <v>448</v>
      </c>
      <c r="M13" s="1">
        <f t="shared" si="7"/>
        <v>37</v>
      </c>
      <c r="O13" s="1">
        <f t="shared" si="8"/>
        <v>16</v>
      </c>
      <c r="P13" s="1">
        <f t="shared" si="0"/>
        <v>480</v>
      </c>
      <c r="Q13" s="1">
        <f t="shared" si="9"/>
        <v>32</v>
      </c>
      <c r="R13" s="2">
        <f t="shared" si="10"/>
        <v>319547392</v>
      </c>
      <c r="S13" s="2">
        <f t="shared" si="11"/>
        <v>133296</v>
      </c>
      <c r="T13" s="2">
        <f t="shared" si="1"/>
        <v>4250736</v>
      </c>
      <c r="U13" s="2">
        <f t="shared" si="12"/>
        <v>4129776</v>
      </c>
      <c r="V13" s="2">
        <f t="shared" si="2"/>
        <v>315296656</v>
      </c>
      <c r="W13" s="2">
        <f t="shared" si="13"/>
        <v>268435456</v>
      </c>
      <c r="X13" s="2">
        <f t="shared" si="14"/>
        <v>315284320</v>
      </c>
      <c r="Y13" s="2">
        <f t="shared" si="3"/>
        <v>268566544</v>
      </c>
      <c r="Z13" s="2">
        <f t="shared" si="15"/>
        <v>46730112</v>
      </c>
      <c r="AA13" s="2">
        <f t="shared" si="16"/>
        <v>268435456</v>
      </c>
      <c r="AB13" s="2">
        <f t="shared" si="4"/>
        <v>46848864</v>
      </c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</row>
    <row r="14" spans="1:39" x14ac:dyDescent="0.3">
      <c r="A14" s="1" t="s">
        <v>82</v>
      </c>
      <c r="B14" s="1">
        <v>3</v>
      </c>
      <c r="C14" s="1">
        <v>1</v>
      </c>
      <c r="D14" s="1">
        <f>12*C14+1</f>
        <v>13</v>
      </c>
      <c r="E14" s="1">
        <v>512</v>
      </c>
      <c r="F14" s="1">
        <v>1000</v>
      </c>
      <c r="G14" s="1">
        <v>7</v>
      </c>
      <c r="H14" s="1">
        <v>64</v>
      </c>
      <c r="I14" s="1">
        <v>16</v>
      </c>
      <c r="J14" s="1">
        <v>256</v>
      </c>
      <c r="K14" s="1">
        <f t="shared" si="6"/>
        <v>50</v>
      </c>
      <c r="L14" s="1">
        <f>I14-2*G14*C14</f>
        <v>2</v>
      </c>
      <c r="M14" s="1">
        <f t="shared" si="7"/>
        <v>11</v>
      </c>
      <c r="N14" s="1">
        <f>CEILING(E14/L14,1)</f>
        <v>256</v>
      </c>
      <c r="O14" s="1">
        <f t="shared" si="8"/>
        <v>2</v>
      </c>
      <c r="P14" s="1">
        <f t="shared" si="0"/>
        <v>14</v>
      </c>
      <c r="Q14" s="1">
        <f t="shared" si="9"/>
        <v>7</v>
      </c>
      <c r="R14" s="2">
        <f t="shared" ref="R14:R22" si="18">M14*H14*N14*I14*(E14+2*C14)+(M14*H14*N14*I14)*P14</f>
        <v>1522532352</v>
      </c>
      <c r="S14" s="2">
        <f>POWER(E14+2*C14,3)-POWER(E14,3)+2*C14*C14*(2*(M14-1)+2*(N14-1))+(POWER(E14+2*C14,2)-POWER(E14,2))*P14</f>
        <v>1608804</v>
      </c>
      <c r="T14" s="2">
        <f>((K14*M14+2*Q14)*(L14*N14+2*Q14)-POWER((E14+2*C14),2)+(M14-1)*(2*C14*(Q14-C14)+2*C14*(N14*L14+2*Q14-2*C14))+(N14-1)*(2*C14*(Q14-C14)+2*C14*(M14*K14+2*Q14-2*C14)))*(E14+2*C14+P14)</f>
        <v>175690944</v>
      </c>
      <c r="U14" s="2">
        <f t="shared" ref="U14:U22" si="19">((K14*M14+2*Q14)*(L14*N14+2*Q14)-POWER((E14+2*C14),2)+(M14-1)*(2*C14*(Q14-C14)+2*C14*(N14*L14+2*Q14-2*C14))+(N14-1)*(2*C14*(Q14-C14)+2*C14*(M14*K14+2*Q14-2*C14)))*(E14+2*C14)</f>
        <v>171032472</v>
      </c>
      <c r="V14" s="2">
        <f t="shared" si="2"/>
        <v>1346841408</v>
      </c>
      <c r="W14" s="2">
        <f>POWER(E14,3)</f>
        <v>134217728</v>
      </c>
      <c r="X14" s="2">
        <f t="shared" si="14"/>
        <v>1349891076</v>
      </c>
      <c r="Y14" s="2">
        <f t="shared" ref="Y14:Y22" si="20">POWER(E14+2*C14,3)</f>
        <v>135796744</v>
      </c>
      <c r="Z14" s="2">
        <f t="shared" si="15"/>
        <v>1211044664</v>
      </c>
      <c r="AA14" s="2">
        <f>POWER(E14,3)</f>
        <v>134217728</v>
      </c>
      <c r="AB14" s="2">
        <f t="shared" si="4"/>
        <v>1215673348</v>
      </c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</row>
    <row r="15" spans="1:39" x14ac:dyDescent="0.3">
      <c r="A15" s="1" t="s">
        <v>83</v>
      </c>
      <c r="B15" s="1">
        <v>3</v>
      </c>
      <c r="C15" s="1">
        <v>2</v>
      </c>
      <c r="D15" s="1">
        <f t="shared" ref="D15:D17" si="21">12*C15+1</f>
        <v>25</v>
      </c>
      <c r="E15" s="1">
        <v>512</v>
      </c>
      <c r="F15" s="1">
        <v>1000</v>
      </c>
      <c r="G15" s="1">
        <v>3</v>
      </c>
      <c r="H15" s="1">
        <v>64</v>
      </c>
      <c r="I15" s="1">
        <v>16</v>
      </c>
      <c r="J15" s="1">
        <v>256</v>
      </c>
      <c r="K15" s="1">
        <f t="shared" si="6"/>
        <v>52</v>
      </c>
      <c r="L15" s="1">
        <f t="shared" ref="L15:L22" si="22">I15-2*G15*C15</f>
        <v>4</v>
      </c>
      <c r="M15" s="1">
        <f t="shared" si="7"/>
        <v>10</v>
      </c>
      <c r="N15" s="1">
        <f t="shared" ref="N15:N22" si="23">CEILING(E15/L15,1)</f>
        <v>128</v>
      </c>
      <c r="O15" s="1">
        <f t="shared" si="8"/>
        <v>2</v>
      </c>
      <c r="P15" s="1">
        <f t="shared" si="0"/>
        <v>6</v>
      </c>
      <c r="Q15" s="1">
        <f t="shared" si="9"/>
        <v>6</v>
      </c>
      <c r="R15" s="2">
        <f t="shared" si="18"/>
        <v>684195840</v>
      </c>
      <c r="S15" s="2">
        <f t="shared" ref="S15:S22" si="24">POWER(E15+2*C15,3)-POWER(E15,3)+2*C15*C15*(2*(M15-1)+2*(N15-1))+(POWER(E15+2*C15,2)-POWER(E15,2))*P15</f>
        <v>3197216</v>
      </c>
      <c r="T15" s="2">
        <f t="shared" ref="T15:T22" si="25">((K15*M15+2*Q15)*(L15*N15+2*Q15)-POWER((E15+2*C15),2)+(M15-1)*(2*C15*(Q15-C15)+2*C15*(N15*L15+2*Q15-2*C15))+(N15-1)*(2*C15*(Q15-C15)+2*C15*(M15*K15+2*Q15-2*C15)))*(E15+2*C15+P15)</f>
        <v>157451904</v>
      </c>
      <c r="U15" s="2">
        <f t="shared" si="19"/>
        <v>155642112</v>
      </c>
      <c r="V15" s="2">
        <f t="shared" si="2"/>
        <v>526743936</v>
      </c>
      <c r="W15" s="2">
        <f t="shared" ref="W15:W22" si="26">POWER(E15,3)</f>
        <v>134217728</v>
      </c>
      <c r="X15" s="2">
        <f t="shared" si="14"/>
        <v>525356512</v>
      </c>
      <c r="Y15" s="2">
        <f t="shared" si="20"/>
        <v>137388096</v>
      </c>
      <c r="Z15" s="2">
        <f t="shared" si="15"/>
        <v>389355840</v>
      </c>
      <c r="AA15" s="2">
        <f t="shared" ref="AA15:AA22" si="27">POWER(E15,3)</f>
        <v>134217728</v>
      </c>
      <c r="AB15" s="2">
        <f t="shared" si="4"/>
        <v>391138784</v>
      </c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</row>
    <row r="16" spans="1:39" x14ac:dyDescent="0.3">
      <c r="A16" s="1" t="s">
        <v>84</v>
      </c>
      <c r="B16" s="1">
        <v>3</v>
      </c>
      <c r="C16" s="1">
        <v>3</v>
      </c>
      <c r="D16" s="1">
        <f t="shared" si="21"/>
        <v>37</v>
      </c>
      <c r="E16" s="1">
        <v>512</v>
      </c>
      <c r="F16" s="1">
        <v>1000</v>
      </c>
      <c r="G16" s="1">
        <v>2</v>
      </c>
      <c r="H16" s="1">
        <v>64</v>
      </c>
      <c r="I16" s="1">
        <v>16</v>
      </c>
      <c r="J16" s="1">
        <v>256</v>
      </c>
      <c r="K16" s="1">
        <f t="shared" si="6"/>
        <v>52</v>
      </c>
      <c r="L16" s="1">
        <f t="shared" si="22"/>
        <v>4</v>
      </c>
      <c r="M16" s="1">
        <f t="shared" si="7"/>
        <v>10</v>
      </c>
      <c r="N16" s="1">
        <f t="shared" si="23"/>
        <v>128</v>
      </c>
      <c r="O16" s="1">
        <f t="shared" si="8"/>
        <v>2</v>
      </c>
      <c r="P16" s="1">
        <f t="shared" si="0"/>
        <v>4</v>
      </c>
      <c r="Q16" s="1">
        <f t="shared" si="9"/>
        <v>6</v>
      </c>
      <c r="R16" s="2">
        <f t="shared" si="18"/>
        <v>684195840</v>
      </c>
      <c r="S16" s="2">
        <f t="shared" si="24"/>
        <v>4803720</v>
      </c>
      <c r="T16" s="2">
        <f t="shared" si="25"/>
        <v>230554872</v>
      </c>
      <c r="U16" s="2">
        <f t="shared" si="19"/>
        <v>228788168</v>
      </c>
      <c r="V16" s="2">
        <f t="shared" si="2"/>
        <v>453640968</v>
      </c>
      <c r="W16" s="2">
        <f t="shared" si="26"/>
        <v>134217728</v>
      </c>
      <c r="X16" s="2">
        <f t="shared" si="14"/>
        <v>450603952</v>
      </c>
      <c r="Y16" s="2">
        <f t="shared" si="20"/>
        <v>138991832</v>
      </c>
      <c r="Z16" s="2">
        <f t="shared" si="15"/>
        <v>314649136</v>
      </c>
      <c r="AA16" s="2">
        <f t="shared" si="27"/>
        <v>134217728</v>
      </c>
      <c r="AB16" s="2">
        <f t="shared" si="4"/>
        <v>316386224</v>
      </c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</row>
    <row r="17" spans="1:39" x14ac:dyDescent="0.3">
      <c r="A17" s="1" t="s">
        <v>85</v>
      </c>
      <c r="B17" s="1">
        <v>3</v>
      </c>
      <c r="C17" s="1">
        <v>4</v>
      </c>
      <c r="D17" s="1">
        <f t="shared" si="21"/>
        <v>49</v>
      </c>
      <c r="E17" s="1">
        <v>512</v>
      </c>
      <c r="F17" s="1">
        <v>1000</v>
      </c>
      <c r="G17" s="1">
        <v>1</v>
      </c>
      <c r="H17" s="1">
        <v>64</v>
      </c>
      <c r="I17" s="1">
        <v>16</v>
      </c>
      <c r="J17" s="1">
        <v>256</v>
      </c>
      <c r="K17" s="1">
        <f t="shared" si="6"/>
        <v>56</v>
      </c>
      <c r="L17" s="1">
        <f t="shared" si="22"/>
        <v>8</v>
      </c>
      <c r="M17" s="1">
        <f t="shared" si="7"/>
        <v>10</v>
      </c>
      <c r="N17" s="1">
        <f t="shared" si="23"/>
        <v>64</v>
      </c>
      <c r="O17" s="1">
        <f t="shared" si="8"/>
        <v>2</v>
      </c>
      <c r="P17" s="1">
        <f t="shared" si="0"/>
        <v>2</v>
      </c>
      <c r="Q17" s="1">
        <f t="shared" si="9"/>
        <v>4</v>
      </c>
      <c r="R17" s="2">
        <f t="shared" si="18"/>
        <v>342097920</v>
      </c>
      <c r="S17" s="2">
        <f t="shared" si="24"/>
        <v>6411392</v>
      </c>
      <c r="T17" s="2">
        <f t="shared" si="25"/>
        <v>179601408</v>
      </c>
      <c r="U17" s="2">
        <f t="shared" si="19"/>
        <v>178913280</v>
      </c>
      <c r="V17" s="2">
        <f t="shared" si="2"/>
        <v>162496512</v>
      </c>
      <c r="W17" s="2">
        <f t="shared" si="26"/>
        <v>134217728</v>
      </c>
      <c r="X17" s="2">
        <f t="shared" si="14"/>
        <v>156773248</v>
      </c>
      <c r="Y17" s="2">
        <f t="shared" si="20"/>
        <v>140608000</v>
      </c>
      <c r="Z17" s="2">
        <f t="shared" si="15"/>
        <v>21888512</v>
      </c>
      <c r="AA17" s="2">
        <f t="shared" si="27"/>
        <v>134217728</v>
      </c>
      <c r="AB17" s="2">
        <f t="shared" si="4"/>
        <v>22555520</v>
      </c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</row>
    <row r="18" spans="1:39" x14ac:dyDescent="0.3">
      <c r="A18" s="1" t="s">
        <v>86</v>
      </c>
      <c r="B18" s="1">
        <v>3</v>
      </c>
      <c r="C18" s="1">
        <v>1</v>
      </c>
      <c r="D18" s="1">
        <f>2*POWER((2*C18+1),3)-1</f>
        <v>53</v>
      </c>
      <c r="E18" s="1">
        <v>512</v>
      </c>
      <c r="F18" s="1">
        <v>1000</v>
      </c>
      <c r="G18" s="1">
        <v>7</v>
      </c>
      <c r="H18" s="1">
        <v>64</v>
      </c>
      <c r="I18" s="1">
        <v>16</v>
      </c>
      <c r="J18" s="1">
        <v>256</v>
      </c>
      <c r="K18" s="1">
        <f t="shared" si="6"/>
        <v>50</v>
      </c>
      <c r="L18" s="1">
        <f t="shared" si="22"/>
        <v>2</v>
      </c>
      <c r="M18" s="1">
        <f t="shared" si="7"/>
        <v>11</v>
      </c>
      <c r="N18" s="1">
        <f t="shared" si="23"/>
        <v>256</v>
      </c>
      <c r="O18" s="1">
        <f t="shared" si="8"/>
        <v>2</v>
      </c>
      <c r="P18" s="1">
        <f t="shared" si="0"/>
        <v>14</v>
      </c>
      <c r="Q18" s="1">
        <f t="shared" si="9"/>
        <v>7</v>
      </c>
      <c r="R18" s="2">
        <f t="shared" si="18"/>
        <v>1522532352</v>
      </c>
      <c r="S18" s="2">
        <f t="shared" si="24"/>
        <v>1608804</v>
      </c>
      <c r="T18" s="2">
        <f t="shared" si="25"/>
        <v>175690944</v>
      </c>
      <c r="U18" s="2">
        <f t="shared" si="19"/>
        <v>171032472</v>
      </c>
      <c r="V18" s="2">
        <f t="shared" si="2"/>
        <v>1346841408</v>
      </c>
      <c r="W18" s="2">
        <f t="shared" si="26"/>
        <v>134217728</v>
      </c>
      <c r="X18" s="2">
        <f t="shared" si="14"/>
        <v>1349891076</v>
      </c>
      <c r="Y18" s="2">
        <f t="shared" si="20"/>
        <v>135796744</v>
      </c>
      <c r="Z18" s="2">
        <f t="shared" si="15"/>
        <v>1211044664</v>
      </c>
      <c r="AA18" s="2">
        <f t="shared" si="27"/>
        <v>134217728</v>
      </c>
      <c r="AB18" s="2">
        <f t="shared" si="4"/>
        <v>1215673348</v>
      </c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</row>
    <row r="19" spans="1:39" x14ac:dyDescent="0.3">
      <c r="A19" s="1" t="s">
        <v>87</v>
      </c>
      <c r="B19" s="1">
        <v>3</v>
      </c>
      <c r="C19" s="1">
        <v>2</v>
      </c>
      <c r="D19" s="1">
        <f t="shared" ref="D19:D21" si="28">2*POWER((2*C19+1),3)-1</f>
        <v>249</v>
      </c>
      <c r="E19" s="1">
        <v>512</v>
      </c>
      <c r="F19" s="1">
        <v>1000</v>
      </c>
      <c r="G19" s="1">
        <v>3</v>
      </c>
      <c r="H19" s="1">
        <v>64</v>
      </c>
      <c r="I19" s="1">
        <v>16</v>
      </c>
      <c r="J19" s="1">
        <v>256</v>
      </c>
      <c r="K19" s="1">
        <f t="shared" si="6"/>
        <v>52</v>
      </c>
      <c r="L19" s="1">
        <f t="shared" si="22"/>
        <v>4</v>
      </c>
      <c r="M19" s="1">
        <f t="shared" si="7"/>
        <v>10</v>
      </c>
      <c r="N19" s="1">
        <f t="shared" si="23"/>
        <v>128</v>
      </c>
      <c r="O19" s="1">
        <f t="shared" si="8"/>
        <v>2</v>
      </c>
      <c r="P19" s="1">
        <f t="shared" si="0"/>
        <v>6</v>
      </c>
      <c r="Q19" s="1">
        <f t="shared" si="9"/>
        <v>6</v>
      </c>
      <c r="R19" s="2">
        <f t="shared" si="18"/>
        <v>684195840</v>
      </c>
      <c r="S19" s="2">
        <f t="shared" si="24"/>
        <v>3197216</v>
      </c>
      <c r="T19" s="2">
        <f t="shared" si="25"/>
        <v>157451904</v>
      </c>
      <c r="U19" s="2">
        <f t="shared" si="19"/>
        <v>155642112</v>
      </c>
      <c r="V19" s="2">
        <f t="shared" si="2"/>
        <v>526743936</v>
      </c>
      <c r="W19" s="2">
        <f t="shared" si="26"/>
        <v>134217728</v>
      </c>
      <c r="X19" s="2">
        <f t="shared" si="14"/>
        <v>525356512</v>
      </c>
      <c r="Y19" s="2">
        <f t="shared" si="20"/>
        <v>137388096</v>
      </c>
      <c r="Z19" s="2">
        <f t="shared" si="15"/>
        <v>389355840</v>
      </c>
      <c r="AA19" s="2">
        <f t="shared" si="27"/>
        <v>134217728</v>
      </c>
      <c r="AB19" s="2">
        <f t="shared" si="4"/>
        <v>391138784</v>
      </c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</row>
    <row r="20" spans="1:39" x14ac:dyDescent="0.3">
      <c r="A20" s="1" t="s">
        <v>88</v>
      </c>
      <c r="B20" s="1">
        <v>3</v>
      </c>
      <c r="C20" s="1">
        <v>3</v>
      </c>
      <c r="D20" s="1">
        <f t="shared" si="28"/>
        <v>685</v>
      </c>
      <c r="E20" s="1">
        <v>512</v>
      </c>
      <c r="F20" s="1">
        <v>1000</v>
      </c>
      <c r="G20" s="1">
        <v>2</v>
      </c>
      <c r="H20" s="1">
        <v>64</v>
      </c>
      <c r="I20" s="1">
        <v>16</v>
      </c>
      <c r="J20" s="1">
        <v>256</v>
      </c>
      <c r="K20" s="1">
        <f t="shared" si="6"/>
        <v>52</v>
      </c>
      <c r="L20" s="1">
        <f t="shared" si="22"/>
        <v>4</v>
      </c>
      <c r="M20" s="1">
        <f t="shared" si="7"/>
        <v>10</v>
      </c>
      <c r="N20" s="1">
        <f t="shared" si="23"/>
        <v>128</v>
      </c>
      <c r="O20" s="1">
        <f t="shared" si="8"/>
        <v>2</v>
      </c>
      <c r="P20" s="1">
        <f t="shared" si="0"/>
        <v>4</v>
      </c>
      <c r="Q20" s="1">
        <f t="shared" si="9"/>
        <v>6</v>
      </c>
      <c r="R20" s="2">
        <f t="shared" si="18"/>
        <v>684195840</v>
      </c>
      <c r="S20" s="2">
        <f t="shared" si="24"/>
        <v>4803720</v>
      </c>
      <c r="T20" s="2">
        <f t="shared" si="25"/>
        <v>230554872</v>
      </c>
      <c r="U20" s="2">
        <f t="shared" si="19"/>
        <v>228788168</v>
      </c>
      <c r="V20" s="2">
        <f t="shared" si="2"/>
        <v>453640968</v>
      </c>
      <c r="W20" s="2">
        <f t="shared" si="26"/>
        <v>134217728</v>
      </c>
      <c r="X20" s="2">
        <f t="shared" si="14"/>
        <v>450603952</v>
      </c>
      <c r="Y20" s="2">
        <f t="shared" si="20"/>
        <v>138991832</v>
      </c>
      <c r="Z20" s="2">
        <f t="shared" si="15"/>
        <v>314649136</v>
      </c>
      <c r="AA20" s="2">
        <f t="shared" si="27"/>
        <v>134217728</v>
      </c>
      <c r="AB20" s="2">
        <f t="shared" si="4"/>
        <v>316386224</v>
      </c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</row>
    <row r="21" spans="1:39" x14ac:dyDescent="0.3">
      <c r="A21" s="1" t="s">
        <v>89</v>
      </c>
      <c r="B21" s="1">
        <v>3</v>
      </c>
      <c r="C21" s="1">
        <v>4</v>
      </c>
      <c r="D21" s="1">
        <f t="shared" si="28"/>
        <v>1457</v>
      </c>
      <c r="E21" s="1">
        <v>512</v>
      </c>
      <c r="F21" s="1">
        <v>1000</v>
      </c>
      <c r="G21" s="1">
        <v>1</v>
      </c>
      <c r="H21" s="1">
        <v>64</v>
      </c>
      <c r="I21" s="1">
        <v>16</v>
      </c>
      <c r="J21" s="1">
        <v>256</v>
      </c>
      <c r="K21" s="1">
        <f t="shared" si="6"/>
        <v>56</v>
      </c>
      <c r="L21" s="1">
        <f t="shared" si="22"/>
        <v>8</v>
      </c>
      <c r="M21" s="1">
        <f t="shared" si="7"/>
        <v>10</v>
      </c>
      <c r="N21" s="1">
        <f t="shared" si="23"/>
        <v>64</v>
      </c>
      <c r="O21" s="1">
        <f t="shared" si="8"/>
        <v>2</v>
      </c>
      <c r="P21" s="1">
        <f t="shared" si="0"/>
        <v>2</v>
      </c>
      <c r="Q21" s="1">
        <f t="shared" si="9"/>
        <v>4</v>
      </c>
      <c r="R21" s="2">
        <f t="shared" si="18"/>
        <v>342097920</v>
      </c>
      <c r="S21" s="2">
        <f t="shared" si="24"/>
        <v>6411392</v>
      </c>
      <c r="T21" s="2">
        <f t="shared" si="25"/>
        <v>179601408</v>
      </c>
      <c r="U21" s="2">
        <f t="shared" si="19"/>
        <v>178913280</v>
      </c>
      <c r="V21" s="2">
        <f t="shared" si="2"/>
        <v>162496512</v>
      </c>
      <c r="W21" s="2">
        <f t="shared" si="26"/>
        <v>134217728</v>
      </c>
      <c r="X21" s="2">
        <f t="shared" si="14"/>
        <v>156773248</v>
      </c>
      <c r="Y21" s="2">
        <f t="shared" si="20"/>
        <v>140608000</v>
      </c>
      <c r="Z21" s="2">
        <f t="shared" si="15"/>
        <v>21888512</v>
      </c>
      <c r="AA21" s="2">
        <f t="shared" si="27"/>
        <v>134217728</v>
      </c>
      <c r="AB21" s="2">
        <f t="shared" si="4"/>
        <v>22555520</v>
      </c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</row>
    <row r="22" spans="1:39" x14ac:dyDescent="0.3">
      <c r="A22" s="1" t="s">
        <v>75</v>
      </c>
      <c r="B22" s="1">
        <v>3</v>
      </c>
      <c r="C22" s="1">
        <v>1</v>
      </c>
      <c r="D22" s="1">
        <v>54</v>
      </c>
      <c r="E22" s="1">
        <v>512</v>
      </c>
      <c r="F22" s="1">
        <v>1000</v>
      </c>
      <c r="G22" s="1">
        <v>7</v>
      </c>
      <c r="H22" s="1">
        <v>64</v>
      </c>
      <c r="I22" s="1">
        <v>16</v>
      </c>
      <c r="J22" s="1">
        <v>256</v>
      </c>
      <c r="K22" s="1">
        <f t="shared" si="6"/>
        <v>50</v>
      </c>
      <c r="L22" s="1">
        <f t="shared" si="22"/>
        <v>2</v>
      </c>
      <c r="M22" s="1">
        <f t="shared" si="7"/>
        <v>11</v>
      </c>
      <c r="N22" s="1">
        <f t="shared" si="23"/>
        <v>256</v>
      </c>
      <c r="O22" s="1">
        <f t="shared" si="8"/>
        <v>2</v>
      </c>
      <c r="P22" s="1">
        <f t="shared" si="0"/>
        <v>14</v>
      </c>
      <c r="Q22" s="1">
        <f t="shared" si="9"/>
        <v>7</v>
      </c>
      <c r="R22" s="2">
        <f t="shared" si="18"/>
        <v>1522532352</v>
      </c>
      <c r="S22" s="2">
        <f t="shared" si="24"/>
        <v>1608804</v>
      </c>
      <c r="T22" s="2">
        <f t="shared" si="25"/>
        <v>175690944</v>
      </c>
      <c r="U22" s="2">
        <f t="shared" si="19"/>
        <v>171032472</v>
      </c>
      <c r="V22" s="2">
        <f t="shared" si="2"/>
        <v>1346841408</v>
      </c>
      <c r="W22" s="2">
        <f t="shared" si="26"/>
        <v>134217728</v>
      </c>
      <c r="X22" s="2">
        <f t="shared" si="14"/>
        <v>1349891076</v>
      </c>
      <c r="Y22" s="2">
        <f t="shared" si="20"/>
        <v>135796744</v>
      </c>
      <c r="Z22" s="2">
        <f t="shared" si="15"/>
        <v>1211044664</v>
      </c>
      <c r="AA22" s="2">
        <f t="shared" si="27"/>
        <v>134217728</v>
      </c>
      <c r="AB22" s="2">
        <f t="shared" si="4"/>
        <v>1215673348</v>
      </c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</row>
    <row r="24" spans="1:39" ht="129.6" x14ac:dyDescent="0.3">
      <c r="R24" s="3" t="s">
        <v>15</v>
      </c>
      <c r="S24" s="3" t="s">
        <v>18</v>
      </c>
      <c r="T24" s="3" t="s">
        <v>25</v>
      </c>
      <c r="U24" s="3" t="s">
        <v>37</v>
      </c>
      <c r="V24" s="3" t="s">
        <v>22</v>
      </c>
      <c r="W24" s="3" t="s">
        <v>19</v>
      </c>
      <c r="X24" s="3" t="s">
        <v>20</v>
      </c>
      <c r="Y24" s="3" t="s">
        <v>21</v>
      </c>
      <c r="Z24" s="3" t="s">
        <v>41</v>
      </c>
      <c r="AA24" s="1" t="s">
        <v>19</v>
      </c>
      <c r="AB24" s="3" t="s">
        <v>23</v>
      </c>
    </row>
    <row r="25" spans="1:39" ht="57.6" x14ac:dyDescent="0.3">
      <c r="R25" s="3" t="s">
        <v>14</v>
      </c>
    </row>
  </sheetData>
  <pageMargins left="0.7" right="0.7" top="0.75" bottom="0.75" header="0.3" footer="0.3"/>
  <pageSetup orientation="portrait" horizontalDpi="1200" verticalDpi="1200" r:id="rId1"/>
  <ignoredErrors>
    <ignoredError sqref="AA14:AA22 AA2:AA9 AA10:AA1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ZeroTobTFloat">
                <anchor moveWithCells="1" sizeWithCells="1">
                  <from>
                    <xdr:col>2</xdr:col>
                    <xdr:colOff>0</xdr:colOff>
                    <xdr:row>23</xdr:row>
                    <xdr:rowOff>114300</xdr:rowOff>
                  </from>
                  <to>
                    <xdr:col>6</xdr:col>
                    <xdr:colOff>0</xdr:colOff>
                    <xdr:row>23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ZeroTobTDouble">
                <anchor moveWithCells="1" sizeWithCells="1">
                  <from>
                    <xdr:col>2</xdr:col>
                    <xdr:colOff>0</xdr:colOff>
                    <xdr:row>23</xdr:row>
                    <xdr:rowOff>838200</xdr:rowOff>
                  </from>
                  <to>
                    <xdr:col>6</xdr:col>
                    <xdr:colOff>0</xdr:colOff>
                    <xdr:row>23</xdr:row>
                    <xdr:rowOff>1485900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hooseStencil">
                <anchor moveWithCells="1" sizeWithCells="1">
                  <from>
                    <xdr:col>2</xdr:col>
                    <xdr:colOff>0</xdr:colOff>
                    <xdr:row>23</xdr:row>
                    <xdr:rowOff>1562100</xdr:rowOff>
                  </from>
                  <to>
                    <xdr:col>6</xdr:col>
                    <xdr:colOff>0</xdr:colOff>
                    <xdr:row>24</xdr:row>
                    <xdr:rowOff>594360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tractTop">
                <anchor moveWithCells="1" sizeWithCells="1">
                  <from>
                    <xdr:col>2</xdr:col>
                    <xdr:colOff>0</xdr:colOff>
                    <xdr:row>24</xdr:row>
                    <xdr:rowOff>670560</xdr:rowOff>
                  </from>
                  <to>
                    <xdr:col>6</xdr:col>
                    <xdr:colOff>0</xdr:colOff>
                    <xdr:row>28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8592D-88F3-42E6-BDDB-71CBAD7552E9}">
  <sheetPr codeName="Sheet2"/>
  <dimension ref="A1:AA28"/>
  <sheetViews>
    <sheetView workbookViewId="0">
      <selection activeCell="R17" sqref="R17"/>
    </sheetView>
  </sheetViews>
  <sheetFormatPr defaultColWidth="8.88671875" defaultRowHeight="14.4" x14ac:dyDescent="0.3"/>
  <cols>
    <col min="1" max="1" width="9.6640625" style="1" bestFit="1" customWidth="1"/>
    <col min="2" max="2" width="9.44140625" style="1" bestFit="1" customWidth="1"/>
    <col min="3" max="3" width="6.33203125" style="1" bestFit="1" customWidth="1"/>
    <col min="4" max="4" width="5" style="1" bestFit="1" customWidth="1"/>
    <col min="5" max="5" width="8.6640625" style="1" bestFit="1" customWidth="1"/>
    <col min="6" max="6" width="8.109375" style="1" bestFit="1" customWidth="1"/>
    <col min="7" max="7" width="3" style="1" bestFit="1" customWidth="1"/>
    <col min="8" max="8" width="4" style="1" bestFit="1" customWidth="1"/>
    <col min="9" max="9" width="3.88671875" style="1" bestFit="1" customWidth="1"/>
    <col min="10" max="10" width="5" style="1" bestFit="1" customWidth="1"/>
    <col min="11" max="11" width="19.109375" style="1" bestFit="1" customWidth="1"/>
    <col min="12" max="12" width="13.44140625" style="1" bestFit="1" customWidth="1"/>
    <col min="13" max="13" width="22.5546875" style="1" bestFit="1" customWidth="1"/>
    <col min="14" max="14" width="18.44140625" style="1" bestFit="1" customWidth="1"/>
    <col min="15" max="15" width="16" style="1" bestFit="1" customWidth="1"/>
    <col min="16" max="17" width="10.88671875" style="1" bestFit="1" customWidth="1"/>
    <col min="18" max="18" width="8.33203125" style="1" bestFit="1" customWidth="1"/>
    <col min="19" max="19" width="8.5546875" style="1" bestFit="1" customWidth="1"/>
    <col min="20" max="20" width="6.6640625" style="1" bestFit="1" customWidth="1"/>
    <col min="21" max="21" width="8.44140625" style="1" customWidth="1"/>
    <col min="22" max="22" width="8" style="1" bestFit="1" customWidth="1"/>
    <col min="23" max="23" width="8" style="1" customWidth="1"/>
    <col min="24" max="24" width="8.88671875" style="1" bestFit="1" customWidth="1"/>
    <col min="25" max="25" width="29.33203125" style="1" bestFit="1" customWidth="1"/>
    <col min="26" max="26" width="12.33203125" style="1" bestFit="1" customWidth="1"/>
    <col min="27" max="27" width="14.44140625" style="1" bestFit="1" customWidth="1"/>
    <col min="28" max="33" width="8.88671875" style="1"/>
    <col min="34" max="34" width="12.33203125" style="1" customWidth="1"/>
    <col min="35" max="16384" width="8.88671875" style="1"/>
  </cols>
  <sheetData>
    <row r="1" spans="1:27" ht="43.2" x14ac:dyDescent="0.3">
      <c r="A1" s="1" t="s">
        <v>0</v>
      </c>
      <c r="B1" s="1" t="s">
        <v>4</v>
      </c>
      <c r="C1" s="1" t="s">
        <v>1</v>
      </c>
      <c r="D1" s="1" t="s">
        <v>13</v>
      </c>
      <c r="E1" s="1" t="s">
        <v>2</v>
      </c>
      <c r="F1" s="3" t="s">
        <v>3</v>
      </c>
      <c r="G1" s="1" t="s">
        <v>5</v>
      </c>
      <c r="H1" s="1" t="s">
        <v>6</v>
      </c>
      <c r="I1" s="1" t="s">
        <v>7</v>
      </c>
      <c r="J1" s="1" t="s">
        <v>8</v>
      </c>
      <c r="K1" s="3" t="s">
        <v>24</v>
      </c>
      <c r="L1" s="3" t="s">
        <v>29</v>
      </c>
      <c r="M1" s="3" t="s">
        <v>44</v>
      </c>
      <c r="N1" s="3" t="s">
        <v>43</v>
      </c>
      <c r="O1" s="3" t="s">
        <v>50</v>
      </c>
      <c r="P1" s="3" t="s">
        <v>51</v>
      </c>
      <c r="Q1" s="3" t="s">
        <v>52</v>
      </c>
      <c r="R1" s="3" t="s">
        <v>56</v>
      </c>
      <c r="S1" s="3" t="s">
        <v>57</v>
      </c>
      <c r="T1" s="3" t="s">
        <v>59</v>
      </c>
      <c r="U1" s="3" t="s">
        <v>96</v>
      </c>
      <c r="V1" s="3" t="s">
        <v>60</v>
      </c>
      <c r="W1" s="3" t="s">
        <v>95</v>
      </c>
      <c r="X1" s="3" t="s">
        <v>58</v>
      </c>
      <c r="Y1" s="3"/>
      <c r="Z1" s="3"/>
      <c r="AA1" s="3"/>
    </row>
    <row r="2" spans="1:27" x14ac:dyDescent="0.3">
      <c r="A2" s="1" t="str">
        <f>Formula!A2</f>
        <v>star2d1r</v>
      </c>
      <c r="B2" s="1">
        <f>Formula!B2</f>
        <v>2</v>
      </c>
      <c r="C2" s="1">
        <f>Formula!C2</f>
        <v>1</v>
      </c>
      <c r="D2" s="1">
        <f>Formula!D2</f>
        <v>9</v>
      </c>
      <c r="E2" s="1">
        <f>Formula!E2</f>
        <v>16384</v>
      </c>
      <c r="F2" s="1">
        <f>Formula!F2</f>
        <v>1000</v>
      </c>
      <c r="G2" s="1">
        <f>Formula!G2</f>
        <v>16</v>
      </c>
      <c r="H2" s="1">
        <f>Formula!H2</f>
        <v>512</v>
      </c>
      <c r="J2" s="1">
        <f>Formula!J2</f>
        <v>1024</v>
      </c>
      <c r="K2" s="1">
        <v>3600</v>
      </c>
      <c r="L2" s="2">
        <v>4762705920</v>
      </c>
      <c r="M2" s="2">
        <v>4474752384</v>
      </c>
      <c r="N2" s="2">
        <f>L2</f>
        <v>4762705920</v>
      </c>
      <c r="O2" s="2">
        <f>Formula!AA2*G2</f>
        <v>4294967296</v>
      </c>
      <c r="P2" s="5">
        <f>1-(O2/L2)</f>
        <v>9.8208588112868367E-2</v>
      </c>
      <c r="Q2" s="5">
        <f>1-((Formula!Y2+Formula!W2)/(Formula!V2+Formula!W2))</f>
        <v>4.6551358768292639E-2</v>
      </c>
      <c r="R2" s="7">
        <f>2 * C2</f>
        <v>2</v>
      </c>
      <c r="S2" s="7">
        <v>1</v>
      </c>
      <c r="T2" s="7">
        <f>4*C2</f>
        <v>4</v>
      </c>
      <c r="U2" s="7">
        <v>0</v>
      </c>
      <c r="V2" s="7">
        <v>1</v>
      </c>
      <c r="W2" s="7">
        <v>0</v>
      </c>
      <c r="X2" s="8">
        <f>(2*T2+U2+V2+W2)/(2*(T2+U2+V2+W2))</f>
        <v>0.9</v>
      </c>
      <c r="Y2" s="2"/>
      <c r="Z2" s="2"/>
      <c r="AA2" s="2"/>
    </row>
    <row r="3" spans="1:27" x14ac:dyDescent="0.3">
      <c r="A3" s="1" t="str">
        <f>Formula!A3</f>
        <v>star2d2r</v>
      </c>
      <c r="B3" s="1">
        <f>Formula!B3</f>
        <v>2</v>
      </c>
      <c r="C3" s="1">
        <f>Formula!C3</f>
        <v>2</v>
      </c>
      <c r="D3" s="1">
        <f>Formula!D3</f>
        <v>17</v>
      </c>
      <c r="E3" s="1">
        <f>Formula!E3</f>
        <v>16384</v>
      </c>
      <c r="F3" s="1">
        <f>Formula!F3</f>
        <v>1000</v>
      </c>
      <c r="G3" s="1">
        <f>Formula!G3</f>
        <v>16</v>
      </c>
      <c r="H3" s="1">
        <f>Formula!H3</f>
        <v>512</v>
      </c>
      <c r="J3" s="1">
        <f>Formula!J3</f>
        <v>1024</v>
      </c>
      <c r="K3" s="1">
        <v>7200</v>
      </c>
      <c r="L3" s="2">
        <v>5103665152</v>
      </c>
      <c r="M3" s="2">
        <v>4644947968</v>
      </c>
      <c r="N3" s="2">
        <f t="shared" ref="N3:N22" si="0">L3</f>
        <v>5103665152</v>
      </c>
      <c r="O3" s="2">
        <f>Formula!AA3*G3</f>
        <v>4294967296</v>
      </c>
      <c r="P3" s="5">
        <f t="shared" ref="P3:P13" si="1">1-(O3/L3)</f>
        <v>0.15845433270305587</v>
      </c>
      <c r="Q3" s="5">
        <f>1-((Formula!Y3+Formula!W3)/(Formula!V3+Formula!W3))</f>
        <v>8.0054036842160281E-2</v>
      </c>
      <c r="R3" s="7">
        <f t="shared" ref="R3:R5" si="2">2 * C3</f>
        <v>4</v>
      </c>
      <c r="S3" s="7">
        <v>1</v>
      </c>
      <c r="T3" s="7">
        <f t="shared" ref="T3:T5" si="3">4*C3</f>
        <v>8</v>
      </c>
      <c r="U3" s="7">
        <v>0</v>
      </c>
      <c r="V3" s="7">
        <v>1</v>
      </c>
      <c r="W3" s="7">
        <v>0</v>
      </c>
      <c r="X3" s="8">
        <f t="shared" ref="X3:X22" si="4">(2*T3+U3+V3+W3)/(2*(T3+U3+V3+W3))</f>
        <v>0.94444444444444442</v>
      </c>
      <c r="Y3" s="2"/>
      <c r="Z3" s="2"/>
      <c r="AA3" s="2"/>
    </row>
    <row r="4" spans="1:27" x14ac:dyDescent="0.3">
      <c r="A4" s="1" t="str">
        <f>Formula!A4</f>
        <v>star2d3r</v>
      </c>
      <c r="B4" s="1">
        <f>Formula!B4</f>
        <v>2</v>
      </c>
      <c r="C4" s="1">
        <f>Formula!C4</f>
        <v>3</v>
      </c>
      <c r="D4" s="1">
        <f>Formula!D4</f>
        <v>25</v>
      </c>
      <c r="E4" s="1">
        <f>Formula!E4</f>
        <v>16384</v>
      </c>
      <c r="F4" s="1">
        <f>Formula!F4</f>
        <v>1000</v>
      </c>
      <c r="G4" s="1">
        <f>Formula!G4</f>
        <v>16</v>
      </c>
      <c r="H4" s="1">
        <f>Formula!H4</f>
        <v>512</v>
      </c>
      <c r="J4" s="1">
        <f>Formula!J4</f>
        <v>1024</v>
      </c>
      <c r="K4" s="1">
        <v>10800</v>
      </c>
      <c r="L4" s="2">
        <v>5591859200</v>
      </c>
      <c r="M4" s="2">
        <v>4918768960</v>
      </c>
      <c r="N4" s="2">
        <f t="shared" si="0"/>
        <v>5591859200</v>
      </c>
      <c r="O4" s="2">
        <f>Formula!AA4*G4</f>
        <v>4294967296</v>
      </c>
      <c r="P4" s="5">
        <f t="shared" si="1"/>
        <v>0.23192499267506594</v>
      </c>
      <c r="Q4" s="5">
        <f>1-((Formula!Y4+Formula!W4)/(Formula!V4+Formula!W4))</f>
        <v>0.11680470813001653</v>
      </c>
      <c r="R4" s="7">
        <f t="shared" si="2"/>
        <v>6</v>
      </c>
      <c r="S4" s="7">
        <v>1</v>
      </c>
      <c r="T4" s="7">
        <f t="shared" si="3"/>
        <v>12</v>
      </c>
      <c r="U4" s="7">
        <v>0</v>
      </c>
      <c r="V4" s="7">
        <v>1</v>
      </c>
      <c r="W4" s="7">
        <v>0</v>
      </c>
      <c r="X4" s="8">
        <f t="shared" si="4"/>
        <v>0.96153846153846156</v>
      </c>
      <c r="Y4" s="2"/>
      <c r="Z4" s="2"/>
      <c r="AA4" s="2"/>
    </row>
    <row r="5" spans="1:27" x14ac:dyDescent="0.3">
      <c r="A5" s="1" t="str">
        <f>Formula!A5</f>
        <v>star2d4r</v>
      </c>
      <c r="B5" s="1">
        <f>Formula!B5</f>
        <v>2</v>
      </c>
      <c r="C5" s="1">
        <f>Formula!C5</f>
        <v>4</v>
      </c>
      <c r="D5" s="1">
        <f>Formula!D5</f>
        <v>33</v>
      </c>
      <c r="E5" s="1">
        <f>Formula!E5</f>
        <v>16384</v>
      </c>
      <c r="F5" s="1">
        <f>Formula!F5</f>
        <v>1000</v>
      </c>
      <c r="G5" s="1">
        <f>Formula!G5</f>
        <v>16</v>
      </c>
      <c r="H5" s="1">
        <f>Formula!H5</f>
        <v>512</v>
      </c>
      <c r="J5" s="1">
        <f>Formula!J5</f>
        <v>1024</v>
      </c>
      <c r="K5" s="1">
        <v>14400</v>
      </c>
      <c r="L5" s="2">
        <v>6091210752</v>
      </c>
      <c r="M5" s="2">
        <v>5177284608</v>
      </c>
      <c r="N5" s="2">
        <f t="shared" si="0"/>
        <v>6091210752</v>
      </c>
      <c r="O5" s="2">
        <f>Formula!AA5*G5</f>
        <v>4294967296</v>
      </c>
      <c r="P5" s="5">
        <f t="shared" si="1"/>
        <v>0.29489103712430531</v>
      </c>
      <c r="Q5" s="5">
        <f>1-((Formula!Y5+Formula!W5)/(Formula!V5+Formula!W5))</f>
        <v>0.15505935682585126</v>
      </c>
      <c r="R5" s="7">
        <f t="shared" si="2"/>
        <v>8</v>
      </c>
      <c r="S5" s="7">
        <v>1</v>
      </c>
      <c r="T5" s="7">
        <f t="shared" si="3"/>
        <v>16</v>
      </c>
      <c r="U5" s="7">
        <v>0</v>
      </c>
      <c r="V5" s="7">
        <v>1</v>
      </c>
      <c r="W5" s="7">
        <v>0</v>
      </c>
      <c r="X5" s="8">
        <f t="shared" si="4"/>
        <v>0.97058823529411764</v>
      </c>
      <c r="Y5" s="2"/>
      <c r="Z5" s="2"/>
      <c r="AA5" s="2"/>
    </row>
    <row r="6" spans="1:27" x14ac:dyDescent="0.3">
      <c r="A6" s="1" t="str">
        <f>Formula!A6</f>
        <v>box2d1r</v>
      </c>
      <c r="B6" s="1">
        <f>Formula!B6</f>
        <v>2</v>
      </c>
      <c r="C6" s="1">
        <f>Formula!C6</f>
        <v>1</v>
      </c>
      <c r="D6" s="1">
        <f>Formula!D6</f>
        <v>17</v>
      </c>
      <c r="E6" s="1">
        <f>Formula!E6</f>
        <v>16384</v>
      </c>
      <c r="F6" s="1">
        <f>Formula!F6</f>
        <v>1000</v>
      </c>
      <c r="G6" s="1">
        <f>Formula!G6</f>
        <v>16</v>
      </c>
      <c r="H6" s="1">
        <f>Formula!H6</f>
        <v>512</v>
      </c>
      <c r="J6" s="1">
        <f>Formula!J6</f>
        <v>1024</v>
      </c>
      <c r="K6" s="1">
        <v>3600</v>
      </c>
      <c r="L6" s="2">
        <v>4762705920</v>
      </c>
      <c r="M6" s="2">
        <v>4474752384</v>
      </c>
      <c r="N6" s="2">
        <f t="shared" si="0"/>
        <v>4762705920</v>
      </c>
      <c r="O6" s="2">
        <f>Formula!AA6*G6</f>
        <v>4294967296</v>
      </c>
      <c r="P6" s="5">
        <f t="shared" si="1"/>
        <v>9.8208588112868367E-2</v>
      </c>
      <c r="Q6" s="5">
        <f>1-((Formula!Y6+Formula!W6)/(Formula!V6+Formula!W6))</f>
        <v>4.6551358768292639E-2</v>
      </c>
      <c r="R6" s="7">
        <f>(2 * C6 + 1) - 1</f>
        <v>2</v>
      </c>
      <c r="S6" s="7">
        <v>1</v>
      </c>
      <c r="T6" s="7">
        <f>(2*C6+1)*(2*C6)</f>
        <v>6</v>
      </c>
      <c r="U6" s="7">
        <f>2*C6</f>
        <v>2</v>
      </c>
      <c r="V6" s="7">
        <f>2*C6+1</f>
        <v>3</v>
      </c>
      <c r="W6" s="7">
        <v>0</v>
      </c>
      <c r="X6" s="8">
        <f t="shared" si="4"/>
        <v>0.77272727272727271</v>
      </c>
      <c r="Y6" s="2"/>
      <c r="Z6" s="2"/>
      <c r="AA6" s="2"/>
    </row>
    <row r="7" spans="1:27" x14ac:dyDescent="0.3">
      <c r="A7" s="1" t="str">
        <f>Formula!A7</f>
        <v>box2d2r</v>
      </c>
      <c r="B7" s="1">
        <f>Formula!B7</f>
        <v>2</v>
      </c>
      <c r="C7" s="1">
        <f>Formula!C7</f>
        <v>2</v>
      </c>
      <c r="D7" s="1">
        <f>Formula!D7</f>
        <v>49</v>
      </c>
      <c r="E7" s="1">
        <f>Formula!E7</f>
        <v>16384</v>
      </c>
      <c r="F7" s="1">
        <f>Formula!F7</f>
        <v>1000</v>
      </c>
      <c r="G7" s="1">
        <f>Formula!G7</f>
        <v>16</v>
      </c>
      <c r="H7" s="1">
        <f>Formula!H7</f>
        <v>512</v>
      </c>
      <c r="J7" s="1">
        <f>Formula!J7</f>
        <v>1024</v>
      </c>
      <c r="K7" s="1">
        <v>7200</v>
      </c>
      <c r="L7" s="2">
        <v>5103665152</v>
      </c>
      <c r="M7" s="2">
        <v>4644947968</v>
      </c>
      <c r="N7" s="2">
        <f t="shared" si="0"/>
        <v>5103665152</v>
      </c>
      <c r="O7" s="2">
        <f>Formula!AA7*G7</f>
        <v>4294967296</v>
      </c>
      <c r="P7" s="5">
        <f t="shared" si="1"/>
        <v>0.15845433270305587</v>
      </c>
      <c r="Q7" s="5">
        <f>1-((Formula!Y7+Formula!W7)/(Formula!V7+Formula!W7))</f>
        <v>8.0054036842160281E-2</v>
      </c>
      <c r="R7" s="7">
        <f t="shared" ref="R7:R10" si="5">(2 * C7 + 1) - 1</f>
        <v>4</v>
      </c>
      <c r="S7" s="7">
        <v>1</v>
      </c>
      <c r="T7" s="7">
        <f t="shared" ref="T7:T9" si="6">(2*C7+1)*(2*C7)</f>
        <v>20</v>
      </c>
      <c r="U7" s="7">
        <f t="shared" ref="U7:U9" si="7">2*C7</f>
        <v>4</v>
      </c>
      <c r="V7" s="7">
        <f t="shared" ref="V7:V9" si="8">2*C7+1</f>
        <v>5</v>
      </c>
      <c r="W7" s="7">
        <v>0</v>
      </c>
      <c r="X7" s="8">
        <f t="shared" si="4"/>
        <v>0.84482758620689657</v>
      </c>
      <c r="Y7" s="2"/>
      <c r="Z7" s="2"/>
      <c r="AA7" s="2"/>
    </row>
    <row r="8" spans="1:27" x14ac:dyDescent="0.3">
      <c r="A8" s="1" t="str">
        <f>Formula!A8</f>
        <v>box2d3r</v>
      </c>
      <c r="B8" s="1">
        <f>Formula!B8</f>
        <v>2</v>
      </c>
      <c r="C8" s="1">
        <f>Formula!C8</f>
        <v>3</v>
      </c>
      <c r="D8" s="1">
        <f>Formula!D8</f>
        <v>97</v>
      </c>
      <c r="E8" s="1">
        <f>Formula!E8</f>
        <v>16384</v>
      </c>
      <c r="F8" s="1">
        <f>Formula!F8</f>
        <v>1000</v>
      </c>
      <c r="G8" s="1">
        <f>Formula!G8</f>
        <v>16</v>
      </c>
      <c r="H8" s="1">
        <f>Formula!H8</f>
        <v>512</v>
      </c>
      <c r="J8" s="1">
        <f>Formula!J8</f>
        <v>1024</v>
      </c>
      <c r="K8" s="1">
        <v>10800</v>
      </c>
      <c r="L8" s="2">
        <v>5591859200</v>
      </c>
      <c r="M8" s="2">
        <v>4918768960</v>
      </c>
      <c r="N8" s="2">
        <f t="shared" si="0"/>
        <v>5591859200</v>
      </c>
      <c r="O8" s="2">
        <f>Formula!AA8*G8</f>
        <v>4294967296</v>
      </c>
      <c r="P8" s="5">
        <f t="shared" si="1"/>
        <v>0.23192499267506594</v>
      </c>
      <c r="Q8" s="5">
        <f>1-((Formula!Y8+Formula!W8)/(Formula!V8+Formula!W8))</f>
        <v>0.11680470813001653</v>
      </c>
      <c r="R8" s="7">
        <f t="shared" si="5"/>
        <v>6</v>
      </c>
      <c r="S8" s="7">
        <v>1</v>
      </c>
      <c r="T8" s="7">
        <f t="shared" si="6"/>
        <v>42</v>
      </c>
      <c r="U8" s="7">
        <f t="shared" si="7"/>
        <v>6</v>
      </c>
      <c r="V8" s="7">
        <f t="shared" si="8"/>
        <v>7</v>
      </c>
      <c r="W8" s="7">
        <v>0</v>
      </c>
      <c r="X8" s="8">
        <f t="shared" si="4"/>
        <v>0.88181818181818183</v>
      </c>
      <c r="Y8" s="2"/>
      <c r="Z8" s="2"/>
      <c r="AA8" s="2"/>
    </row>
    <row r="9" spans="1:27" x14ac:dyDescent="0.3">
      <c r="A9" s="1" t="str">
        <f>Formula!A9</f>
        <v>box2d4r</v>
      </c>
      <c r="B9" s="1">
        <f>Formula!B9</f>
        <v>2</v>
      </c>
      <c r="C9" s="1">
        <f>Formula!C9</f>
        <v>4</v>
      </c>
      <c r="D9" s="1">
        <f>Formula!D9</f>
        <v>161</v>
      </c>
      <c r="E9" s="1">
        <f>Formula!E9</f>
        <v>16384</v>
      </c>
      <c r="F9" s="1">
        <f>Formula!F9</f>
        <v>1000</v>
      </c>
      <c r="G9" s="1">
        <f>Formula!G9</f>
        <v>16</v>
      </c>
      <c r="H9" s="1">
        <f>Formula!H9</f>
        <v>512</v>
      </c>
      <c r="J9" s="1">
        <f>Formula!J9</f>
        <v>1024</v>
      </c>
      <c r="K9" s="1">
        <v>14400</v>
      </c>
      <c r="L9" s="2">
        <v>6091210752</v>
      </c>
      <c r="M9" s="2">
        <v>5177284608</v>
      </c>
      <c r="N9" s="2">
        <f t="shared" si="0"/>
        <v>6091210752</v>
      </c>
      <c r="O9" s="2">
        <f>Formula!AA9*G9</f>
        <v>4294967296</v>
      </c>
      <c r="P9" s="5">
        <f t="shared" si="1"/>
        <v>0.29489103712430531</v>
      </c>
      <c r="Q9" s="5">
        <f>1-((Formula!Y9+Formula!W9)/(Formula!V9+Formula!W9))</f>
        <v>0.15505935682585126</v>
      </c>
      <c r="R9" s="7">
        <f t="shared" si="5"/>
        <v>8</v>
      </c>
      <c r="S9" s="7">
        <v>1</v>
      </c>
      <c r="T9" s="7">
        <f t="shared" si="6"/>
        <v>72</v>
      </c>
      <c r="U9" s="7">
        <f t="shared" si="7"/>
        <v>8</v>
      </c>
      <c r="V9" s="7">
        <f t="shared" si="8"/>
        <v>9</v>
      </c>
      <c r="W9" s="7">
        <v>0</v>
      </c>
      <c r="X9" s="8">
        <f t="shared" si="4"/>
        <v>0.9044943820224719</v>
      </c>
      <c r="Y9" s="2"/>
      <c r="Z9" s="2"/>
      <c r="AA9" s="2"/>
    </row>
    <row r="10" spans="1:27" x14ac:dyDescent="0.3">
      <c r="A10" s="1" t="str">
        <f>Formula!A10</f>
        <v>gradient2d</v>
      </c>
      <c r="B10" s="1">
        <f>Formula!B10</f>
        <v>2</v>
      </c>
      <c r="C10" s="1">
        <f>Formula!C10</f>
        <v>1</v>
      </c>
      <c r="D10" s="1">
        <f>Formula!D10</f>
        <v>19</v>
      </c>
      <c r="E10" s="1">
        <f>Formula!E10</f>
        <v>16384</v>
      </c>
      <c r="F10" s="1">
        <f>Formula!F10</f>
        <v>1000</v>
      </c>
      <c r="G10" s="1">
        <f>Formula!G10</f>
        <v>16</v>
      </c>
      <c r="H10" s="1">
        <f>Formula!H10</f>
        <v>512</v>
      </c>
      <c r="J10" s="1">
        <f>Formula!J10</f>
        <v>1024</v>
      </c>
      <c r="K10" s="1">
        <v>3600</v>
      </c>
      <c r="L10" s="2">
        <v>4762705920</v>
      </c>
      <c r="M10" s="2">
        <v>4474752384</v>
      </c>
      <c r="N10" s="2">
        <f t="shared" si="0"/>
        <v>4762705920</v>
      </c>
      <c r="O10" s="2">
        <f>Formula!AA10*G10</f>
        <v>4294967296</v>
      </c>
      <c r="P10" s="5">
        <f t="shared" si="1"/>
        <v>9.8208588112868367E-2</v>
      </c>
      <c r="Q10" s="5">
        <f>1-((Formula!Y10+Formula!W10)/(Formula!V10+Formula!W10))</f>
        <v>4.6551358768292639E-2</v>
      </c>
      <c r="R10" s="7">
        <f t="shared" si="5"/>
        <v>2</v>
      </c>
      <c r="S10" s="7">
        <v>1</v>
      </c>
      <c r="T10" s="7">
        <v>4</v>
      </c>
      <c r="U10" s="7">
        <v>5</v>
      </c>
      <c r="V10" s="7">
        <v>1</v>
      </c>
      <c r="W10" s="7">
        <v>1</v>
      </c>
      <c r="X10" s="8">
        <f t="shared" si="4"/>
        <v>0.68181818181818177</v>
      </c>
      <c r="Y10" s="2"/>
      <c r="Z10" s="2"/>
      <c r="AA10" s="2"/>
    </row>
    <row r="11" spans="1:27" x14ac:dyDescent="0.3">
      <c r="A11" s="1" t="str">
        <f>Formula!A11</f>
        <v>j2d5pt</v>
      </c>
      <c r="B11" s="1">
        <f>Formula!B11</f>
        <v>2</v>
      </c>
      <c r="C11" s="1">
        <f>Formula!C11</f>
        <v>1</v>
      </c>
      <c r="D11" s="1">
        <f>Formula!D11</f>
        <v>10</v>
      </c>
      <c r="E11" s="1">
        <f>Formula!E11</f>
        <v>16384</v>
      </c>
      <c r="F11" s="1">
        <f>Formula!F11</f>
        <v>1000</v>
      </c>
      <c r="G11" s="1">
        <f>Formula!G11</f>
        <v>16</v>
      </c>
      <c r="H11" s="1">
        <f>Formula!H11</f>
        <v>512</v>
      </c>
      <c r="J11" s="1">
        <f>Formula!J11</f>
        <v>1024</v>
      </c>
      <c r="K11" s="1">
        <v>3600</v>
      </c>
      <c r="L11" s="2">
        <v>4762705920</v>
      </c>
      <c r="M11" s="2">
        <v>4474752384</v>
      </c>
      <c r="N11" s="2">
        <f t="shared" si="0"/>
        <v>4762705920</v>
      </c>
      <c r="O11" s="2">
        <f>Formula!AA11*G11</f>
        <v>4294967296</v>
      </c>
      <c r="P11" s="5">
        <f t="shared" si="1"/>
        <v>9.8208588112868367E-2</v>
      </c>
      <c r="Q11" s="5">
        <f>1-((Formula!Y11+Formula!W11)/(Formula!V11+Formula!W11))</f>
        <v>4.6551358768292639E-2</v>
      </c>
      <c r="R11" s="7">
        <f>2 * C11</f>
        <v>2</v>
      </c>
      <c r="S11" s="7">
        <v>1</v>
      </c>
      <c r="T11" s="7">
        <v>4</v>
      </c>
      <c r="U11" s="7">
        <v>0</v>
      </c>
      <c r="V11" s="7">
        <v>2</v>
      </c>
      <c r="W11" s="7">
        <v>0</v>
      </c>
      <c r="X11" s="8">
        <f t="shared" si="4"/>
        <v>0.83333333333333337</v>
      </c>
      <c r="Y11" s="2" t="s">
        <v>97</v>
      </c>
      <c r="Z11" s="2"/>
      <c r="AA11" s="2"/>
    </row>
    <row r="12" spans="1:27" x14ac:dyDescent="0.3">
      <c r="A12" s="1" t="str">
        <f>Formula!A12</f>
        <v>j2d9pt-gol</v>
      </c>
      <c r="B12" s="1">
        <f>Formula!B12</f>
        <v>2</v>
      </c>
      <c r="C12" s="1">
        <f>Formula!C12</f>
        <v>1</v>
      </c>
      <c r="D12" s="1">
        <f>Formula!D12</f>
        <v>18</v>
      </c>
      <c r="E12" s="1">
        <f>Formula!E12</f>
        <v>16384</v>
      </c>
      <c r="F12" s="1">
        <f>Formula!F12</f>
        <v>1000</v>
      </c>
      <c r="G12" s="1">
        <f>Formula!G12</f>
        <v>16</v>
      </c>
      <c r="H12" s="1">
        <f>Formula!H12</f>
        <v>512</v>
      </c>
      <c r="J12" s="1">
        <f>Formula!J12</f>
        <v>1024</v>
      </c>
      <c r="K12" s="1">
        <v>3600</v>
      </c>
      <c r="L12" s="2">
        <v>4762705920</v>
      </c>
      <c r="M12" s="2">
        <v>4474752384</v>
      </c>
      <c r="N12" s="2">
        <f t="shared" si="0"/>
        <v>4762705920</v>
      </c>
      <c r="O12" s="2">
        <f>Formula!AA12*G12</f>
        <v>4294967296</v>
      </c>
      <c r="P12" s="5">
        <f t="shared" si="1"/>
        <v>9.8208588112868367E-2</v>
      </c>
      <c r="Q12" s="5">
        <f>1-((Formula!Y12+Formula!W12)/(Formula!V12+Formula!W12))</f>
        <v>4.6551358768292639E-2</v>
      </c>
      <c r="R12" s="7">
        <f>(2 * C12 + 1) - 1</f>
        <v>2</v>
      </c>
      <c r="S12" s="7">
        <v>1</v>
      </c>
      <c r="T12" s="7">
        <v>8</v>
      </c>
      <c r="U12" s="7">
        <v>0</v>
      </c>
      <c r="V12" s="7">
        <v>4</v>
      </c>
      <c r="W12" s="7">
        <v>0</v>
      </c>
      <c r="X12" s="8">
        <f t="shared" si="4"/>
        <v>0.83333333333333337</v>
      </c>
      <c r="Y12" s="2" t="s">
        <v>98</v>
      </c>
      <c r="Z12" s="2"/>
      <c r="AA12" s="2"/>
    </row>
    <row r="13" spans="1:27" x14ac:dyDescent="0.3">
      <c r="A13" s="1" t="str">
        <f>Formula!A13</f>
        <v>j2d9pt</v>
      </c>
      <c r="B13" s="1">
        <f>Formula!B13</f>
        <v>2</v>
      </c>
      <c r="C13" s="1">
        <f>Formula!C13</f>
        <v>2</v>
      </c>
      <c r="D13" s="1">
        <f>Formula!D13</f>
        <v>18</v>
      </c>
      <c r="E13" s="1">
        <f>Formula!E13</f>
        <v>16384</v>
      </c>
      <c r="F13" s="1">
        <f>Formula!F13</f>
        <v>1000</v>
      </c>
      <c r="G13" s="1">
        <f>Formula!G13</f>
        <v>16</v>
      </c>
      <c r="H13" s="1">
        <f>Formula!H13</f>
        <v>512</v>
      </c>
      <c r="J13" s="1">
        <f>Formula!J13</f>
        <v>1024</v>
      </c>
      <c r="K13" s="1">
        <v>7200</v>
      </c>
      <c r="L13" s="2">
        <v>5103665152</v>
      </c>
      <c r="M13" s="2">
        <v>4644947968</v>
      </c>
      <c r="N13" s="2">
        <f t="shared" si="0"/>
        <v>5103665152</v>
      </c>
      <c r="O13" s="2">
        <f>Formula!AA13*G13</f>
        <v>4294967296</v>
      </c>
      <c r="P13" s="5">
        <f t="shared" si="1"/>
        <v>0.15845433270305587</v>
      </c>
      <c r="Q13" s="5">
        <f>1-((Formula!Y13+Formula!W13)/(Formula!V13+Formula!W13))</f>
        <v>8.0054036842160281E-2</v>
      </c>
      <c r="R13" s="7">
        <f>2 * C13</f>
        <v>4</v>
      </c>
      <c r="S13" s="7">
        <v>1</v>
      </c>
      <c r="T13" s="7">
        <v>8</v>
      </c>
      <c r="U13" s="7">
        <v>0</v>
      </c>
      <c r="V13" s="7">
        <v>6</v>
      </c>
      <c r="W13" s="7">
        <v>0</v>
      </c>
      <c r="X13" s="8">
        <f t="shared" si="4"/>
        <v>0.7857142857142857</v>
      </c>
      <c r="Y13" s="2" t="s">
        <v>99</v>
      </c>
      <c r="Z13" s="2"/>
      <c r="AA13" s="2"/>
    </row>
    <row r="14" spans="1:27" x14ac:dyDescent="0.3">
      <c r="A14" s="1" t="str">
        <f>Formula!A14</f>
        <v>star3d1r</v>
      </c>
      <c r="B14" s="1">
        <f>Formula!B14</f>
        <v>3</v>
      </c>
      <c r="C14" s="1">
        <f>Formula!C14</f>
        <v>1</v>
      </c>
      <c r="D14" s="1">
        <f>Formula!D14</f>
        <v>13</v>
      </c>
      <c r="E14" s="1">
        <f>Formula!E14</f>
        <v>512</v>
      </c>
      <c r="F14" s="1">
        <f>Formula!F14</f>
        <v>1000</v>
      </c>
      <c r="G14" s="1">
        <f>Formula!G14</f>
        <v>7</v>
      </c>
      <c r="H14" s="1">
        <f>Formula!H14</f>
        <v>64</v>
      </c>
      <c r="I14" s="1">
        <f>Formula!I14</f>
        <v>16</v>
      </c>
      <c r="J14" s="1">
        <f>Formula!J14</f>
        <v>256</v>
      </c>
      <c r="K14" s="1">
        <v>42</v>
      </c>
      <c r="L14" s="2">
        <v>10496245760</v>
      </c>
      <c r="M14" s="2">
        <v>4328798416</v>
      </c>
      <c r="N14" s="2">
        <f t="shared" si="0"/>
        <v>10496245760</v>
      </c>
      <c r="O14" s="2">
        <f>Formula!AA14*G14</f>
        <v>939524096</v>
      </c>
      <c r="P14" s="5">
        <f t="shared" ref="P14:P22" si="9">1-(O14/L14)</f>
        <v>0.91048951048951055</v>
      </c>
      <c r="Q14" s="5">
        <f>1-((Formula!Y14+Formula!W14)/(Formula!V14+Formula!W14))</f>
        <v>0.81768825738501771</v>
      </c>
      <c r="R14" s="7">
        <f>4 * C14</f>
        <v>4</v>
      </c>
      <c r="S14" s="7">
        <v>1</v>
      </c>
      <c r="T14" s="7">
        <f>6*C14</f>
        <v>6</v>
      </c>
      <c r="U14" s="7">
        <v>0</v>
      </c>
      <c r="V14" s="7">
        <v>1</v>
      </c>
      <c r="W14" s="7">
        <v>0</v>
      </c>
      <c r="X14" s="8">
        <f t="shared" si="4"/>
        <v>0.9285714285714286</v>
      </c>
      <c r="Y14" s="2"/>
      <c r="Z14" s="2"/>
      <c r="AA14" s="2"/>
    </row>
    <row r="15" spans="1:27" x14ac:dyDescent="0.3">
      <c r="A15" s="1" t="str">
        <f>Formula!A15</f>
        <v>star3d2r</v>
      </c>
      <c r="B15" s="1">
        <f>Formula!B15</f>
        <v>3</v>
      </c>
      <c r="C15" s="1">
        <f>Formula!C15</f>
        <v>2</v>
      </c>
      <c r="D15" s="1">
        <f>Formula!D15</f>
        <v>25</v>
      </c>
      <c r="E15" s="1">
        <f>Formula!E15</f>
        <v>512</v>
      </c>
      <c r="F15" s="1">
        <f>Formula!F15</f>
        <v>1000</v>
      </c>
      <c r="G15" s="1">
        <f>Formula!G15</f>
        <v>3</v>
      </c>
      <c r="H15" s="1">
        <f>Formula!H15</f>
        <v>64</v>
      </c>
      <c r="I15" s="1">
        <f>Formula!I15</f>
        <v>16</v>
      </c>
      <c r="J15" s="1">
        <f>Formula!J15</f>
        <v>256</v>
      </c>
      <c r="K15" s="1">
        <v>12</v>
      </c>
      <c r="L15" s="2">
        <v>2044723200</v>
      </c>
      <c r="M15" s="2">
        <v>836997184</v>
      </c>
      <c r="N15" s="2">
        <f t="shared" si="0"/>
        <v>2044723200</v>
      </c>
      <c r="O15" s="2">
        <f>Formula!AA15*G15</f>
        <v>402653184</v>
      </c>
      <c r="P15" s="5">
        <f t="shared" si="9"/>
        <v>0.80307692307692302</v>
      </c>
      <c r="Q15" s="5">
        <f>1-((Formula!Y15+Formula!W15)/(Formula!V15+Formula!W15))</f>
        <v>0.58907476969798966</v>
      </c>
      <c r="R15" s="7">
        <f t="shared" ref="R15:R17" si="10">4 * C15</f>
        <v>8</v>
      </c>
      <c r="S15" s="7">
        <v>1</v>
      </c>
      <c r="T15" s="7">
        <f t="shared" ref="T15:T17" si="11">6*C15</f>
        <v>12</v>
      </c>
      <c r="U15" s="7">
        <v>0</v>
      </c>
      <c r="V15" s="7">
        <v>1</v>
      </c>
      <c r="W15" s="7">
        <v>0</v>
      </c>
      <c r="X15" s="8">
        <f t="shared" si="4"/>
        <v>0.96153846153846156</v>
      </c>
      <c r="Y15" s="2"/>
      <c r="Z15" s="2"/>
      <c r="AA15" s="2"/>
    </row>
    <row r="16" spans="1:27" x14ac:dyDescent="0.3">
      <c r="A16" s="1" t="str">
        <f>Formula!A16</f>
        <v>star3d3r</v>
      </c>
      <c r="B16" s="1">
        <f>Formula!B16</f>
        <v>3</v>
      </c>
      <c r="C16" s="1">
        <f>Formula!C16</f>
        <v>3</v>
      </c>
      <c r="D16" s="1">
        <f>Formula!D16</f>
        <v>37</v>
      </c>
      <c r="E16" s="1">
        <f>Formula!E16</f>
        <v>512</v>
      </c>
      <c r="F16" s="1">
        <f>Formula!F16</f>
        <v>1000</v>
      </c>
      <c r="G16" s="1">
        <f>Formula!G16</f>
        <v>2</v>
      </c>
      <c r="H16" s="1">
        <f>Formula!H16</f>
        <v>64</v>
      </c>
      <c r="I16" s="1">
        <f>Formula!I16</f>
        <v>16</v>
      </c>
      <c r="J16" s="1">
        <f>Formula!J16</f>
        <v>256</v>
      </c>
      <c r="K16" s="1">
        <v>6</v>
      </c>
      <c r="L16" s="2">
        <v>1365770240</v>
      </c>
      <c r="M16" s="2">
        <v>483171152</v>
      </c>
      <c r="N16" s="2">
        <f t="shared" si="0"/>
        <v>1365770240</v>
      </c>
      <c r="O16" s="2">
        <f>Formula!AA16*G16</f>
        <v>268435456</v>
      </c>
      <c r="P16" s="5">
        <f t="shared" si="9"/>
        <v>0.80345489443378115</v>
      </c>
      <c r="Q16" s="5">
        <f>1-((Formula!Y16+Formula!W16)/(Formula!V16+Formula!W16))</f>
        <v>0.5352462048124571</v>
      </c>
      <c r="R16" s="7">
        <f t="shared" si="10"/>
        <v>12</v>
      </c>
      <c r="S16" s="7">
        <v>1</v>
      </c>
      <c r="T16" s="7">
        <f t="shared" si="11"/>
        <v>18</v>
      </c>
      <c r="U16" s="7">
        <v>0</v>
      </c>
      <c r="V16" s="7">
        <v>1</v>
      </c>
      <c r="W16" s="7">
        <v>0</v>
      </c>
      <c r="X16" s="8">
        <f t="shared" si="4"/>
        <v>0.97368421052631582</v>
      </c>
      <c r="Y16" s="2"/>
      <c r="Z16" s="2"/>
      <c r="AA16" s="2"/>
    </row>
    <row r="17" spans="1:27" x14ac:dyDescent="0.3">
      <c r="A17" s="1" t="str">
        <f>Formula!A17</f>
        <v>star3d4r</v>
      </c>
      <c r="B17" s="1">
        <f>Formula!B17</f>
        <v>3</v>
      </c>
      <c r="C17" s="1">
        <f>Formula!C17</f>
        <v>4</v>
      </c>
      <c r="D17" s="1">
        <f>Formula!D17</f>
        <v>49</v>
      </c>
      <c r="E17" s="1">
        <f>Formula!E17</f>
        <v>512</v>
      </c>
      <c r="F17" s="1">
        <f>Formula!F17</f>
        <v>1000</v>
      </c>
      <c r="G17" s="1">
        <f>Formula!G17</f>
        <v>1</v>
      </c>
      <c r="H17" s="1">
        <f>Formula!H17</f>
        <v>64</v>
      </c>
      <c r="I17" s="1">
        <f>Formula!I17</f>
        <v>16</v>
      </c>
      <c r="J17" s="1">
        <f>Formula!J17</f>
        <v>256</v>
      </c>
      <c r="K17" s="1">
        <v>0</v>
      </c>
      <c r="L17" s="2">
        <v>340787200</v>
      </c>
      <c r="M17" s="2">
        <v>136314880</v>
      </c>
      <c r="N17" s="2">
        <f t="shared" si="0"/>
        <v>340787200</v>
      </c>
      <c r="O17" s="2">
        <f>Formula!AA17*G17</f>
        <v>134217728</v>
      </c>
      <c r="P17" s="5">
        <f t="shared" si="9"/>
        <v>0.60615384615384615</v>
      </c>
      <c r="Q17" s="5">
        <f>1-((Formula!Y17+Formula!W17)/(Formula!V17+Formula!W17))</f>
        <v>7.3769671452236341E-2</v>
      </c>
      <c r="R17" s="7">
        <f t="shared" si="10"/>
        <v>16</v>
      </c>
      <c r="S17" s="7">
        <v>1</v>
      </c>
      <c r="T17" s="7">
        <f t="shared" si="11"/>
        <v>24</v>
      </c>
      <c r="U17" s="7">
        <v>0</v>
      </c>
      <c r="V17" s="7">
        <v>1</v>
      </c>
      <c r="W17" s="7">
        <v>0</v>
      </c>
      <c r="X17" s="8">
        <f t="shared" si="4"/>
        <v>0.98</v>
      </c>
      <c r="Y17" s="2"/>
      <c r="Z17" s="2"/>
      <c r="AA17" s="2"/>
    </row>
    <row r="18" spans="1:27" x14ac:dyDescent="0.3">
      <c r="A18" s="1" t="str">
        <f>Formula!A18</f>
        <v>box3d1r</v>
      </c>
      <c r="B18" s="1">
        <f>Formula!B18</f>
        <v>3</v>
      </c>
      <c r="C18" s="1">
        <f>Formula!C18</f>
        <v>1</v>
      </c>
      <c r="D18" s="1">
        <f>Formula!D18</f>
        <v>53</v>
      </c>
      <c r="E18" s="1">
        <f>Formula!E18</f>
        <v>512</v>
      </c>
      <c r="F18" s="1">
        <f>Formula!F18</f>
        <v>1000</v>
      </c>
      <c r="G18" s="1">
        <f>Formula!G18</f>
        <v>7</v>
      </c>
      <c r="H18" s="1">
        <f>Formula!H18</f>
        <v>64</v>
      </c>
      <c r="I18" s="1">
        <f>Formula!I18</f>
        <v>16</v>
      </c>
      <c r="J18" s="1">
        <f>Formula!J18</f>
        <v>256</v>
      </c>
      <c r="K18" s="1">
        <v>42</v>
      </c>
      <c r="L18" s="2">
        <v>10496245760</v>
      </c>
      <c r="M18" s="2">
        <v>4328798416</v>
      </c>
      <c r="N18" s="2">
        <f t="shared" si="0"/>
        <v>10496245760</v>
      </c>
      <c r="O18" s="2">
        <f>Formula!AA18*G18</f>
        <v>939524096</v>
      </c>
      <c r="P18" s="5">
        <f t="shared" si="9"/>
        <v>0.91048951048951055</v>
      </c>
      <c r="Q18" s="5">
        <f>1-((Formula!Y18+Formula!W18)/(Formula!V18+Formula!W18))</f>
        <v>0.81768825738501771</v>
      </c>
      <c r="R18" s="7">
        <f>POWER((2 * C18 + 1),2) - 1</f>
        <v>8</v>
      </c>
      <c r="S18" s="7">
        <v>1</v>
      </c>
      <c r="T18" s="7">
        <f>(2*C6+1)*(POWER((2*C6+1),2)-1)</f>
        <v>24</v>
      </c>
      <c r="U18" s="7">
        <f>2*C18</f>
        <v>2</v>
      </c>
      <c r="V18" s="7">
        <f>2*C18+1</f>
        <v>3</v>
      </c>
      <c r="W18" s="7">
        <v>0</v>
      </c>
      <c r="X18" s="8">
        <f t="shared" si="4"/>
        <v>0.91379310344827591</v>
      </c>
      <c r="Y18" s="2"/>
      <c r="Z18" s="2"/>
      <c r="AA18" s="2"/>
    </row>
    <row r="19" spans="1:27" x14ac:dyDescent="0.3">
      <c r="A19" s="1" t="str">
        <f>Formula!A19</f>
        <v>box3d2r</v>
      </c>
      <c r="B19" s="1">
        <f>Formula!B19</f>
        <v>3</v>
      </c>
      <c r="C19" s="1">
        <f>Formula!C19</f>
        <v>2</v>
      </c>
      <c r="D19" s="1">
        <f>Formula!D19</f>
        <v>249</v>
      </c>
      <c r="E19" s="1">
        <f>Formula!E19</f>
        <v>512</v>
      </c>
      <c r="F19" s="1">
        <f>Formula!F19</f>
        <v>1000</v>
      </c>
      <c r="G19" s="1">
        <f>Formula!G19</f>
        <v>3</v>
      </c>
      <c r="H19" s="1">
        <f>Formula!H19</f>
        <v>64</v>
      </c>
      <c r="I19" s="1">
        <f>Formula!I19</f>
        <v>16</v>
      </c>
      <c r="J19" s="1">
        <f>Formula!J19</f>
        <v>256</v>
      </c>
      <c r="K19" s="1">
        <v>12</v>
      </c>
      <c r="L19" s="2">
        <v>2044723200</v>
      </c>
      <c r="M19" s="2">
        <v>836997184</v>
      </c>
      <c r="N19" s="2">
        <f t="shared" si="0"/>
        <v>2044723200</v>
      </c>
      <c r="O19" s="2">
        <f>Formula!AA19*G19</f>
        <v>402653184</v>
      </c>
      <c r="P19" s="5">
        <f t="shared" si="9"/>
        <v>0.80307692307692302</v>
      </c>
      <c r="Q19" s="5">
        <f>1-((Formula!Y19+Formula!W19)/(Formula!V19+Formula!W19))</f>
        <v>0.58907476969798966</v>
      </c>
      <c r="R19" s="7">
        <f t="shared" ref="R19:R21" si="12">POWER((2 * C19 + 1),2) - 1</f>
        <v>24</v>
      </c>
      <c r="S19" s="7">
        <v>1</v>
      </c>
      <c r="T19" s="7">
        <f>(2*C7+1)*(POWER((2*C7+1),2)-1)</f>
        <v>120</v>
      </c>
      <c r="U19" s="7">
        <f t="shared" ref="U19:U21" si="13">2*C19</f>
        <v>4</v>
      </c>
      <c r="V19" s="7">
        <f t="shared" ref="V19:V21" si="14">2*C19+1</f>
        <v>5</v>
      </c>
      <c r="W19" s="7">
        <v>0</v>
      </c>
      <c r="X19" s="8">
        <f t="shared" si="4"/>
        <v>0.96511627906976749</v>
      </c>
      <c r="Y19" s="2"/>
      <c r="Z19" s="2"/>
      <c r="AA19" s="2"/>
    </row>
    <row r="20" spans="1:27" x14ac:dyDescent="0.3">
      <c r="A20" s="1" t="str">
        <f>Formula!A20</f>
        <v>box3d3r</v>
      </c>
      <c r="B20" s="1">
        <f>Formula!B20</f>
        <v>3</v>
      </c>
      <c r="C20" s="1">
        <f>Formula!C20</f>
        <v>3</v>
      </c>
      <c r="D20" s="1">
        <f>Formula!D20</f>
        <v>685</v>
      </c>
      <c r="E20" s="1">
        <f>Formula!E20</f>
        <v>512</v>
      </c>
      <c r="F20" s="1">
        <f>Formula!F20</f>
        <v>1000</v>
      </c>
      <c r="G20" s="1">
        <f>Formula!G20</f>
        <v>2</v>
      </c>
      <c r="H20" s="1">
        <f>Formula!H20</f>
        <v>64</v>
      </c>
      <c r="I20" s="1">
        <f>Formula!I20</f>
        <v>16</v>
      </c>
      <c r="J20" s="1">
        <f>Formula!J20</f>
        <v>256</v>
      </c>
      <c r="K20" s="1">
        <v>6</v>
      </c>
      <c r="L20" s="2">
        <v>1365770240</v>
      </c>
      <c r="M20" s="2">
        <v>483171152</v>
      </c>
      <c r="N20" s="2">
        <f t="shared" si="0"/>
        <v>1365770240</v>
      </c>
      <c r="O20" s="2">
        <f>Formula!AA20*G20</f>
        <v>268435456</v>
      </c>
      <c r="P20" s="5">
        <f t="shared" si="9"/>
        <v>0.80345489443378115</v>
      </c>
      <c r="Q20" s="5">
        <f>1-((Formula!Y20+Formula!W20)/(Formula!V20+Formula!W20))</f>
        <v>0.5352462048124571</v>
      </c>
      <c r="R20" s="7">
        <f t="shared" si="12"/>
        <v>48</v>
      </c>
      <c r="S20" s="7">
        <v>1</v>
      </c>
      <c r="T20" s="7">
        <f>(2*C8+1)*(POWER((2*C8+1),2)-1)</f>
        <v>336</v>
      </c>
      <c r="U20" s="7">
        <f t="shared" si="13"/>
        <v>6</v>
      </c>
      <c r="V20" s="7">
        <f t="shared" si="14"/>
        <v>7</v>
      </c>
      <c r="W20" s="7">
        <v>0</v>
      </c>
      <c r="X20" s="8">
        <f t="shared" si="4"/>
        <v>0.98137535816618915</v>
      </c>
      <c r="Y20" s="2"/>
      <c r="Z20" s="2"/>
      <c r="AA20" s="2"/>
    </row>
    <row r="21" spans="1:27" x14ac:dyDescent="0.3">
      <c r="A21" s="1" t="str">
        <f>Formula!A21</f>
        <v>box3d4r</v>
      </c>
      <c r="B21" s="1">
        <f>Formula!B21</f>
        <v>3</v>
      </c>
      <c r="C21" s="1">
        <f>Formula!C21</f>
        <v>4</v>
      </c>
      <c r="D21" s="1">
        <f>Formula!D21</f>
        <v>1457</v>
      </c>
      <c r="E21" s="1">
        <f>Formula!E21</f>
        <v>512</v>
      </c>
      <c r="F21" s="1">
        <f>Formula!F21</f>
        <v>1000</v>
      </c>
      <c r="G21" s="1">
        <f>Formula!G21</f>
        <v>1</v>
      </c>
      <c r="H21" s="1">
        <f>Formula!H21</f>
        <v>64</v>
      </c>
      <c r="I21" s="1">
        <f>Formula!I21</f>
        <v>16</v>
      </c>
      <c r="J21" s="1">
        <f>Formula!J21</f>
        <v>256</v>
      </c>
      <c r="K21" s="1">
        <v>0</v>
      </c>
      <c r="L21" s="2">
        <v>340787200</v>
      </c>
      <c r="M21" s="2">
        <v>136314880</v>
      </c>
      <c r="N21" s="2">
        <f t="shared" si="0"/>
        <v>340787200</v>
      </c>
      <c r="O21" s="2">
        <f>Formula!AA21*G21</f>
        <v>134217728</v>
      </c>
      <c r="P21" s="5">
        <f t="shared" si="9"/>
        <v>0.60615384615384615</v>
      </c>
      <c r="Q21" s="5">
        <f>1-((Formula!Y21+Formula!W21)/(Formula!V21+Formula!W21))</f>
        <v>7.3769671452236341E-2</v>
      </c>
      <c r="R21" s="7">
        <f t="shared" si="12"/>
        <v>80</v>
      </c>
      <c r="S21" s="7">
        <v>1</v>
      </c>
      <c r="T21" s="7">
        <f>(2*C9+1)*(POWER((2*C9+1),2)-1)</f>
        <v>720</v>
      </c>
      <c r="U21" s="7">
        <f t="shared" si="13"/>
        <v>8</v>
      </c>
      <c r="V21" s="7">
        <f t="shared" si="14"/>
        <v>9</v>
      </c>
      <c r="W21" s="7">
        <v>0</v>
      </c>
      <c r="X21" s="8">
        <f t="shared" si="4"/>
        <v>0.98846675712347354</v>
      </c>
      <c r="Y21" s="2"/>
      <c r="Z21" s="2"/>
      <c r="AA21" s="2"/>
    </row>
    <row r="22" spans="1:27" x14ac:dyDescent="0.3">
      <c r="A22" s="1" t="str">
        <f>Formula!A22</f>
        <v>j3d27pt</v>
      </c>
      <c r="B22" s="1">
        <f>Formula!B22</f>
        <v>3</v>
      </c>
      <c r="C22" s="1">
        <f>Formula!C22</f>
        <v>1</v>
      </c>
      <c r="D22" s="1">
        <f>Formula!D22</f>
        <v>54</v>
      </c>
      <c r="E22" s="1">
        <f>Formula!E22</f>
        <v>512</v>
      </c>
      <c r="F22" s="1">
        <f>Formula!F22</f>
        <v>1000</v>
      </c>
      <c r="G22" s="1">
        <f>Formula!G22</f>
        <v>7</v>
      </c>
      <c r="H22" s="1">
        <f>Formula!H22</f>
        <v>64</v>
      </c>
      <c r="I22" s="1">
        <f>Formula!I22</f>
        <v>16</v>
      </c>
      <c r="J22" s="1">
        <f>Formula!J22</f>
        <v>256</v>
      </c>
      <c r="K22" s="1">
        <v>42</v>
      </c>
      <c r="L22" s="2">
        <v>10496245760</v>
      </c>
      <c r="M22" s="2">
        <v>4328798416</v>
      </c>
      <c r="N22" s="2">
        <f t="shared" si="0"/>
        <v>10496245760</v>
      </c>
      <c r="O22" s="2">
        <f>Formula!AA22*G22</f>
        <v>939524096</v>
      </c>
      <c r="P22" s="5">
        <f t="shared" si="9"/>
        <v>0.91048951048951055</v>
      </c>
      <c r="Q22" s="5">
        <f>1-((Formula!Y22+Formula!W22)/(Formula!V22+Formula!W22))</f>
        <v>0.81768825738501771</v>
      </c>
      <c r="R22" s="7">
        <f>POWER((2 * C22 + 1),2) - 1</f>
        <v>8</v>
      </c>
      <c r="S22" s="7">
        <v>1</v>
      </c>
      <c r="T22" s="7">
        <v>26</v>
      </c>
      <c r="U22" s="7">
        <v>0</v>
      </c>
      <c r="V22" s="7">
        <v>4</v>
      </c>
      <c r="W22" s="7">
        <v>0</v>
      </c>
      <c r="X22" s="8">
        <f t="shared" si="4"/>
        <v>0.93333333333333335</v>
      </c>
      <c r="Y22" s="2" t="s">
        <v>98</v>
      </c>
      <c r="Z22" s="2"/>
      <c r="AA22" s="2"/>
    </row>
    <row r="23" spans="1:27" x14ac:dyDescent="0.3">
      <c r="L23" s="2"/>
      <c r="M23" s="2"/>
      <c r="N23" s="2"/>
      <c r="O23" s="2"/>
      <c r="P23" s="5"/>
      <c r="Q23" s="5"/>
      <c r="R23" s="7"/>
      <c r="S23" s="7"/>
      <c r="T23" s="7"/>
      <c r="U23" s="7"/>
      <c r="V23" s="7"/>
      <c r="W23" s="7"/>
      <c r="X23" s="8"/>
      <c r="Y23" s="2"/>
      <c r="Z23" s="2"/>
      <c r="AA23" s="2"/>
    </row>
    <row r="24" spans="1:27" ht="100.8" x14ac:dyDescent="0.3">
      <c r="L24" s="3" t="s">
        <v>15</v>
      </c>
      <c r="M24" s="3" t="s">
        <v>26</v>
      </c>
      <c r="N24" s="3" t="s">
        <v>28</v>
      </c>
    </row>
    <row r="25" spans="1:27" ht="57.6" x14ac:dyDescent="0.3">
      <c r="L25" s="3" t="s">
        <v>14</v>
      </c>
      <c r="M25" s="3" t="s">
        <v>27</v>
      </c>
    </row>
    <row r="28" spans="1:27" x14ac:dyDescent="0.3">
      <c r="A28" s="3"/>
    </row>
  </sheetData>
  <pageMargins left="0.7" right="0.7" top="0.75" bottom="0.75" header="0.3" footer="0.3"/>
  <pageSetup orientation="portrait" horizontalDpi="0" verticalDpi="0" r:id="rId1"/>
  <ignoredErrors>
    <ignoredError sqref="R11:R12 R6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F3EDF-1B72-4F96-942D-D360EE8840CE}">
  <sheetPr codeName="Sheet4"/>
  <dimension ref="A1:U39"/>
  <sheetViews>
    <sheetView workbookViewId="0">
      <selection activeCell="M11" sqref="M11"/>
    </sheetView>
  </sheetViews>
  <sheetFormatPr defaultColWidth="9.109375" defaultRowHeight="14.4" x14ac:dyDescent="0.3"/>
  <cols>
    <col min="1" max="1" width="9.6640625" style="1" bestFit="1" customWidth="1"/>
    <col min="2" max="2" width="9.44140625" style="1" bestFit="1" customWidth="1"/>
    <col min="3" max="3" width="6.33203125" style="1" bestFit="1" customWidth="1"/>
    <col min="4" max="4" width="5" style="1" bestFit="1" customWidth="1"/>
    <col min="5" max="5" width="8.6640625" style="1" bestFit="1" customWidth="1"/>
    <col min="6" max="6" width="8.109375" style="1" bestFit="1" customWidth="1"/>
    <col min="7" max="7" width="3" style="1" bestFit="1" customWidth="1"/>
    <col min="8" max="8" width="4" style="1" bestFit="1" customWidth="1"/>
    <col min="9" max="9" width="3.88671875" style="1" bestFit="1" customWidth="1"/>
    <col min="10" max="10" width="5" style="1" bestFit="1" customWidth="1"/>
    <col min="11" max="11" width="6.6640625" style="1" bestFit="1" customWidth="1"/>
    <col min="12" max="12" width="8.88671875" style="1" bestFit="1" customWidth="1"/>
    <col min="13" max="13" width="9.88671875" style="1" bestFit="1" customWidth="1"/>
    <col min="14" max="14" width="11.6640625" style="1" bestFit="1" customWidth="1"/>
    <col min="15" max="15" width="10.88671875" style="1" bestFit="1" customWidth="1"/>
    <col min="16" max="16" width="11.33203125" style="1" bestFit="1" customWidth="1"/>
    <col min="17" max="17" width="8.44140625" style="1" bestFit="1" customWidth="1"/>
    <col min="18" max="18" width="14.6640625" style="1" customWidth="1"/>
    <col min="19" max="19" width="14.6640625" style="1" bestFit="1" customWidth="1"/>
    <col min="20" max="20" width="8.5546875" style="1" bestFit="1" customWidth="1"/>
    <col min="21" max="21" width="11.5546875" style="1" bestFit="1" customWidth="1"/>
    <col min="22" max="16384" width="9.109375" style="1"/>
  </cols>
  <sheetData>
    <row r="1" spans="1:21" ht="43.2" x14ac:dyDescent="0.3">
      <c r="A1" s="1" t="str">
        <f>Macro!A1</f>
        <v>Stencil</v>
      </c>
      <c r="B1" s="1" t="str">
        <f>Macro!B1</f>
        <v>Dimention</v>
      </c>
      <c r="C1" s="1" t="str">
        <f>Macro!C1</f>
        <v>Radius</v>
      </c>
      <c r="D1" s="1" t="str">
        <f>Macro!D1</f>
        <v>FPP</v>
      </c>
      <c r="E1" s="1" t="str">
        <f>Macro!E1</f>
        <v>Input Size</v>
      </c>
      <c r="F1" s="3" t="str">
        <f>Macro!F1</f>
        <v>Iteration Count</v>
      </c>
      <c r="G1" s="1" t="str">
        <f>Macro!G1</f>
        <v>bT</v>
      </c>
      <c r="H1" s="1" t="str">
        <f>Macro!H1</f>
        <v>bS1</v>
      </c>
      <c r="I1" s="1" t="str">
        <f>Macro!I1</f>
        <v>bS2</v>
      </c>
      <c r="J1" s="1" t="str">
        <f>Macro!J1</f>
        <v>sl</v>
      </c>
      <c r="K1" s="3" t="s">
        <v>68</v>
      </c>
      <c r="L1" s="3" t="s">
        <v>69</v>
      </c>
      <c r="M1" s="3" t="s">
        <v>101</v>
      </c>
      <c r="N1" s="3" t="s">
        <v>62</v>
      </c>
      <c r="O1" s="3" t="s">
        <v>55</v>
      </c>
      <c r="P1" s="3" t="s">
        <v>61</v>
      </c>
      <c r="Q1" s="3" t="s">
        <v>63</v>
      </c>
      <c r="R1" s="3" t="s">
        <v>64</v>
      </c>
      <c r="S1" s="3" t="s">
        <v>65</v>
      </c>
      <c r="T1" s="3" t="s">
        <v>66</v>
      </c>
      <c r="U1" s="3" t="s">
        <v>67</v>
      </c>
    </row>
    <row r="2" spans="1:21" x14ac:dyDescent="0.3">
      <c r="A2" s="1" t="str">
        <f>Macro!A2</f>
        <v>star2d1r</v>
      </c>
      <c r="B2" s="1">
        <f>Macro!B2</f>
        <v>2</v>
      </c>
      <c r="C2" s="1">
        <f>Macro!C2</f>
        <v>1</v>
      </c>
      <c r="D2" s="1">
        <f>Macro!D2</f>
        <v>9</v>
      </c>
      <c r="E2" s="1">
        <f>Macro!E2</f>
        <v>16384</v>
      </c>
      <c r="F2" s="1">
        <f>Macro!F2</f>
        <v>1000</v>
      </c>
      <c r="G2" s="1">
        <f>Macro!G2</f>
        <v>16</v>
      </c>
      <c r="H2" s="1">
        <f>Macro!H2</f>
        <v>512</v>
      </c>
      <c r="J2" s="1">
        <f>Macro!J2</f>
        <v>1024</v>
      </c>
      <c r="K2" s="1">
        <f>CEILING(F2/G2,1)</f>
        <v>63</v>
      </c>
      <c r="L2" s="2">
        <f>CEILING(E2/Formula!K2,1)*CEILING(E2/J2,1)</f>
        <v>560</v>
      </c>
      <c r="M2" s="5">
        <f>FLOOR(L2/((2048/H2)*GPUs!$B$2),1)/(CEILING(L2/((2048/H2)*GPUs!$B$2),1))</f>
        <v>0.66666666666666663</v>
      </c>
      <c r="N2" s="2">
        <f>Macro!M2*(2*Macro!T2+Macro!U2+Macro!V2+Macro!W2)*CEILING(F2/G2,1)/POWER(1000,3)</f>
        <v>2537.184601728</v>
      </c>
      <c r="O2" s="2">
        <f>(Formula!V2+Formula!W2)*4*K2/(POWER(1000,3))</f>
        <v>141.91428887999999</v>
      </c>
      <c r="P2" s="2">
        <f>(Macro!M2*Macro!R2+Macro!N2*Macro!S2)*4*K2/(POWER(1000,3))</f>
        <v>3455.4770933760001</v>
      </c>
      <c r="Q2" s="9">
        <f>N2/(GPUs!$C$2*Macro!X2)</f>
        <v>0.26573566469594595</v>
      </c>
      <c r="R2" s="9">
        <f>O2/GPUs!$E$2</f>
        <v>0.26526035304672896</v>
      </c>
      <c r="S2" s="9">
        <f>P2/GPUs!$G$2</f>
        <v>0.35623475189443299</v>
      </c>
      <c r="T2" s="9">
        <f>MAX(Q2,R2,S2)/M2</f>
        <v>0.53435212784164954</v>
      </c>
      <c r="U2" s="2">
        <f t="shared" ref="U2:U13" si="0">(F2*POWER(E2,2)*D2)/(T2*POWER(1000,3))</f>
        <v>4521.2117218628091</v>
      </c>
    </row>
    <row r="3" spans="1:21" x14ac:dyDescent="0.3">
      <c r="A3" s="1" t="str">
        <f>Macro!A3</f>
        <v>star2d2r</v>
      </c>
      <c r="B3" s="1">
        <f>Macro!B3</f>
        <v>2</v>
      </c>
      <c r="C3" s="1">
        <f>Macro!C3</f>
        <v>2</v>
      </c>
      <c r="D3" s="1">
        <f>Macro!D3</f>
        <v>17</v>
      </c>
      <c r="E3" s="1">
        <f>Macro!E3</f>
        <v>16384</v>
      </c>
      <c r="F3" s="1">
        <f>Macro!F3</f>
        <v>1000</v>
      </c>
      <c r="G3" s="1">
        <f>Macro!G3</f>
        <v>16</v>
      </c>
      <c r="H3" s="1">
        <f>Macro!H3</f>
        <v>512</v>
      </c>
      <c r="J3" s="1">
        <f>Macro!J3</f>
        <v>1024</v>
      </c>
      <c r="K3" s="1">
        <f t="shared" ref="K3:K22" si="1">CEILING(F3/G3,1)</f>
        <v>63</v>
      </c>
      <c r="L3" s="2">
        <f>CEILING(E3/Formula!K3,1)*CEILING(E3/J3,1)</f>
        <v>592</v>
      </c>
      <c r="M3" s="5">
        <f>FLOOR(L3/((2048/H3)*GPUs!$B$2),1)/(CEILING(L3/((2048/H3)*GPUs!$B$2),1))</f>
        <v>0.66666666666666663</v>
      </c>
      <c r="N3" s="2">
        <f>Macro!M3*(2*Macro!T3+Macro!U3+Macro!V3+Macro!W3)*CEILING(F3/G3,1)/POWER(1000,3)</f>
        <v>4974.7392737279997</v>
      </c>
      <c r="O3" s="2">
        <f>(Formula!V3+Formula!W3)*4*K3/(POWER(1000,3))</f>
        <v>147.10049222399999</v>
      </c>
      <c r="P3" s="2">
        <f>(Macro!M3*Macro!R3+Macro!N3*Macro!S3)*4*K3/(POWER(1000,3))</f>
        <v>5968.2311700480004</v>
      </c>
      <c r="Q3" s="9">
        <f>N3/(GPUs!$C$2*Macro!X3)</f>
        <v>0.49651708378378373</v>
      </c>
      <c r="R3" s="9">
        <f>O3/GPUs!$E$2</f>
        <v>0.2749541910728972</v>
      </c>
      <c r="S3" s="9">
        <f>P3/GPUs!$G$2</f>
        <v>0.61528156392247424</v>
      </c>
      <c r="T3" s="9">
        <f t="shared" ref="T3:T22" si="2">MAX(Q3,R3,S3)/M3</f>
        <v>0.92292234588371136</v>
      </c>
      <c r="U3" s="2">
        <f t="shared" si="0"/>
        <v>4944.5143162402001</v>
      </c>
    </row>
    <row r="4" spans="1:21" x14ac:dyDescent="0.3">
      <c r="A4" s="1" t="str">
        <f>Macro!A4</f>
        <v>star2d3r</v>
      </c>
      <c r="B4" s="1">
        <f>Macro!B4</f>
        <v>2</v>
      </c>
      <c r="C4" s="1">
        <f>Macro!C4</f>
        <v>3</v>
      </c>
      <c r="D4" s="1">
        <f>Macro!D4</f>
        <v>25</v>
      </c>
      <c r="E4" s="1">
        <f>Macro!E4</f>
        <v>16384</v>
      </c>
      <c r="F4" s="1">
        <f>Macro!F4</f>
        <v>1000</v>
      </c>
      <c r="G4" s="1">
        <f>Macro!G4</f>
        <v>16</v>
      </c>
      <c r="H4" s="1">
        <f>Macro!H4</f>
        <v>512</v>
      </c>
      <c r="J4" s="1">
        <f>Macro!J4</f>
        <v>1024</v>
      </c>
      <c r="K4" s="1">
        <f t="shared" si="1"/>
        <v>63</v>
      </c>
      <c r="L4" s="2">
        <f>CEILING(E4/Formula!K4,1)*CEILING(E4/J4,1)</f>
        <v>640</v>
      </c>
      <c r="M4" s="5">
        <f>FLOOR(L4/((2048/H4)*GPUs!$B$2),1)/(CEILING(L4/((2048/H4)*GPUs!$B$2),1))</f>
        <v>0.66666666666666663</v>
      </c>
      <c r="N4" s="2">
        <f>Macro!M4*(2*Macro!T4+Macro!U4+Macro!V4+Macro!W4)*CEILING(F4/G4,1)/POWER(1000,3)</f>
        <v>7747.0611120000003</v>
      </c>
      <c r="O4" s="2">
        <f>(Formula!V4+Formula!W4)*4*K4/(POWER(1000,3))</f>
        <v>153.24020107199999</v>
      </c>
      <c r="P4" s="2">
        <f>(Macro!M4*Macro!R4+Macro!N4*Macro!S4)*4*K4/(POWER(1000,3))</f>
        <v>8846.3271859199995</v>
      </c>
      <c r="Q4" s="9">
        <f>N4/(GPUs!$C$2*Macro!X4)</f>
        <v>0.75946997508445946</v>
      </c>
      <c r="R4" s="9">
        <f>O4/GPUs!$E$2</f>
        <v>0.28643028237757007</v>
      </c>
      <c r="S4" s="9">
        <f>P4/GPUs!$G$2</f>
        <v>0.91199249339381439</v>
      </c>
      <c r="T4" s="9">
        <f t="shared" si="2"/>
        <v>1.3679887400907216</v>
      </c>
      <c r="U4" s="2">
        <f t="shared" si="0"/>
        <v>4905.659091576259</v>
      </c>
    </row>
    <row r="5" spans="1:21" x14ac:dyDescent="0.3">
      <c r="A5" s="1" t="str">
        <f>Macro!A5</f>
        <v>star2d4r</v>
      </c>
      <c r="B5" s="1">
        <f>Macro!B5</f>
        <v>2</v>
      </c>
      <c r="C5" s="1">
        <f>Macro!C5</f>
        <v>4</v>
      </c>
      <c r="D5" s="1">
        <f>Macro!D5</f>
        <v>33</v>
      </c>
      <c r="E5" s="1">
        <f>Macro!E5</f>
        <v>16384</v>
      </c>
      <c r="F5" s="1">
        <f>Macro!F5</f>
        <v>1000</v>
      </c>
      <c r="G5" s="1">
        <f>Macro!G5</f>
        <v>16</v>
      </c>
      <c r="H5" s="1">
        <f>Macro!H5</f>
        <v>512</v>
      </c>
      <c r="J5" s="1">
        <f>Macro!J5</f>
        <v>1024</v>
      </c>
      <c r="K5" s="1">
        <f t="shared" si="1"/>
        <v>63</v>
      </c>
      <c r="L5" s="2">
        <f>CEILING(E5/Formula!K5,1)*CEILING(E5/J5,1)</f>
        <v>688</v>
      </c>
      <c r="M5" s="5">
        <f>FLOOR(L5/((2048/H5)*GPUs!$B$2),1)/(CEILING(L5/((2048/H5)*GPUs!$B$2),1))</f>
        <v>0.75</v>
      </c>
      <c r="N5" s="2">
        <f>Macro!M5*(2*Macro!T5+Macro!U5+Macro!V5+Macro!W5)*CEILING(F5/G5,1)/POWER(1000,3)</f>
        <v>10763.574700032001</v>
      </c>
      <c r="O5" s="2">
        <f>(Formula!V5+Formula!W5)*4*K5/(POWER(1000,3))</f>
        <v>160.197698304</v>
      </c>
      <c r="P5" s="2">
        <f>(Macro!M5*Macro!R5+Macro!N5*Macro!S5)*4*K5/(POWER(1000,3))</f>
        <v>11972.390879232</v>
      </c>
      <c r="Q5" s="9">
        <f>N5/(GPUs!$C$2*Macro!X5)</f>
        <v>1.0453501702702703</v>
      </c>
      <c r="R5" s="9">
        <f>O5/GPUs!$E$2</f>
        <v>0.29943495010093457</v>
      </c>
      <c r="S5" s="9">
        <f>P5/GPUs!$G$2</f>
        <v>1.2342671009517525</v>
      </c>
      <c r="T5" s="9">
        <f t="shared" si="2"/>
        <v>1.6456894679356699</v>
      </c>
      <c r="U5" s="2">
        <f t="shared" si="0"/>
        <v>5382.7713068564608</v>
      </c>
    </row>
    <row r="6" spans="1:21" x14ac:dyDescent="0.3">
      <c r="A6" s="1" t="str">
        <f>Macro!A6</f>
        <v>box2d1r</v>
      </c>
      <c r="B6" s="1">
        <f>Macro!B6</f>
        <v>2</v>
      </c>
      <c r="C6" s="1">
        <f>Macro!C6</f>
        <v>1</v>
      </c>
      <c r="D6" s="1">
        <f>Macro!D6</f>
        <v>17</v>
      </c>
      <c r="E6" s="1">
        <f>Macro!E6</f>
        <v>16384</v>
      </c>
      <c r="F6" s="1">
        <f>Macro!F6</f>
        <v>1000</v>
      </c>
      <c r="G6" s="1">
        <f>Macro!G6</f>
        <v>16</v>
      </c>
      <c r="H6" s="1">
        <f>Macro!H6</f>
        <v>512</v>
      </c>
      <c r="J6" s="1">
        <f>Macro!J6</f>
        <v>1024</v>
      </c>
      <c r="K6" s="1">
        <f t="shared" si="1"/>
        <v>63</v>
      </c>
      <c r="L6" s="2">
        <f>CEILING(E6/Formula!K6,1)*CEILING(E6/J6,1)</f>
        <v>560</v>
      </c>
      <c r="M6" s="5">
        <f>FLOOR(L6/((2048/H6)*GPUs!$B$2),1)/(CEILING(L6/((2048/H6)*GPUs!$B$2),1))</f>
        <v>0.66666666666666663</v>
      </c>
      <c r="N6" s="2">
        <f>Macro!M6*(2*Macro!T6+Macro!U6+Macro!V6+Macro!W6)*CEILING(F6/G6,1)/POWER(1000,3)</f>
        <v>4792.4598032639997</v>
      </c>
      <c r="O6" s="2">
        <f>(Formula!V6+Formula!W6)*4*K6/(POWER(1000,3))</f>
        <v>141.91428887999999</v>
      </c>
      <c r="P6" s="2">
        <f>(Macro!M6*Macro!R6+Macro!N6*Macro!S6)*4*K6/(POWER(1000,3))</f>
        <v>3455.4770933760001</v>
      </c>
      <c r="Q6" s="9">
        <f>N6/(GPUs!$C$2*Macro!X6)</f>
        <v>0.58461846233108117</v>
      </c>
      <c r="R6" s="9">
        <f>O6/GPUs!$E$2</f>
        <v>0.26526035304672896</v>
      </c>
      <c r="S6" s="9">
        <f>P6/GPUs!$G$2</f>
        <v>0.35623475189443299</v>
      </c>
      <c r="T6" s="9">
        <f t="shared" si="2"/>
        <v>0.87692769349662181</v>
      </c>
      <c r="U6" s="2">
        <f t="shared" si="0"/>
        <v>5203.8529354730426</v>
      </c>
    </row>
    <row r="7" spans="1:21" x14ac:dyDescent="0.3">
      <c r="A7" s="1" t="str">
        <f>Macro!A7</f>
        <v>box2d2r</v>
      </c>
      <c r="B7" s="1">
        <f>Macro!B7</f>
        <v>2</v>
      </c>
      <c r="C7" s="1">
        <f>Macro!C7</f>
        <v>2</v>
      </c>
      <c r="D7" s="1">
        <f>Macro!D7</f>
        <v>49</v>
      </c>
      <c r="E7" s="1">
        <f>Macro!E7</f>
        <v>16384</v>
      </c>
      <c r="F7" s="1">
        <f>Macro!F7</f>
        <v>1000</v>
      </c>
      <c r="G7" s="1">
        <f>Macro!G7</f>
        <v>16</v>
      </c>
      <c r="H7" s="1">
        <f>Macro!H7</f>
        <v>512</v>
      </c>
      <c r="J7" s="1">
        <f>Macro!J7</f>
        <v>1024</v>
      </c>
      <c r="K7" s="1">
        <f t="shared" si="1"/>
        <v>63</v>
      </c>
      <c r="L7" s="2">
        <f>CEILING(E7/Formula!K7,1)*CEILING(E7/J7,1)</f>
        <v>592</v>
      </c>
      <c r="M7" s="5">
        <f>FLOOR(L7/((2048/H7)*GPUs!$B$2),1)/(CEILING(L7/((2048/H7)*GPUs!$B$2),1))</f>
        <v>0.66666666666666663</v>
      </c>
      <c r="N7" s="2">
        <f>Macro!M7*(2*Macro!T7+Macro!U7+Macro!V7+Macro!W7)*CEILING(F7/G7,1)/POWER(1000,3)</f>
        <v>14338.954377216</v>
      </c>
      <c r="O7" s="2">
        <f>(Formula!V7+Formula!W7)*4*K7/(POWER(1000,3))</f>
        <v>147.10049222399999</v>
      </c>
      <c r="P7" s="2">
        <f>(Macro!M7*Macro!R7+Macro!N7*Macro!S7)*4*K7/(POWER(1000,3))</f>
        <v>5968.2311700480004</v>
      </c>
      <c r="Q7" s="9">
        <f>N7/(GPUs!$C$2*Macro!X7)</f>
        <v>1.5998883810810809</v>
      </c>
      <c r="R7" s="9">
        <f>O7/GPUs!$E$2</f>
        <v>0.2749541910728972</v>
      </c>
      <c r="S7" s="9">
        <f>P7/GPUs!$G$2</f>
        <v>0.61528156392247424</v>
      </c>
      <c r="T7" s="9">
        <f t="shared" si="2"/>
        <v>2.3998325716216216</v>
      </c>
      <c r="U7" s="2">
        <f t="shared" si="0"/>
        <v>5480.9395870112676</v>
      </c>
    </row>
    <row r="8" spans="1:21" x14ac:dyDescent="0.3">
      <c r="A8" s="1" t="str">
        <f>Macro!A8</f>
        <v>box2d3r</v>
      </c>
      <c r="B8" s="1">
        <f>Macro!B8</f>
        <v>2</v>
      </c>
      <c r="C8" s="1">
        <f>Macro!C8</f>
        <v>3</v>
      </c>
      <c r="D8" s="1">
        <f>Macro!D8</f>
        <v>97</v>
      </c>
      <c r="E8" s="1">
        <f>Macro!E8</f>
        <v>16384</v>
      </c>
      <c r="F8" s="1">
        <f>Macro!F8</f>
        <v>1000</v>
      </c>
      <c r="G8" s="1">
        <f>Macro!G8</f>
        <v>16</v>
      </c>
      <c r="H8" s="1">
        <f>Macro!H8</f>
        <v>512</v>
      </c>
      <c r="J8" s="1">
        <f>Macro!J8</f>
        <v>1024</v>
      </c>
      <c r="K8" s="1">
        <f t="shared" si="1"/>
        <v>63</v>
      </c>
      <c r="L8" s="2">
        <f>CEILING(E8/Formula!K8,1)*CEILING(E8/J8,1)</f>
        <v>640</v>
      </c>
      <c r="M8" s="5">
        <f>FLOOR(L8/((2048/H8)*GPUs!$B$2),1)/(CEILING(L8/((2048/H8)*GPUs!$B$2),1))</f>
        <v>0.66666666666666663</v>
      </c>
      <c r="N8" s="2">
        <f>Macro!M8*(2*Macro!T8+Macro!U8+Macro!V8+Macro!W8)*CEILING(F8/G8,1)/POWER(1000,3)</f>
        <v>30058.597114560002</v>
      </c>
      <c r="O8" s="2">
        <f>(Formula!V8+Formula!W8)*4*K8/(POWER(1000,3))</f>
        <v>153.24020107199999</v>
      </c>
      <c r="P8" s="2">
        <f>(Macro!M8*Macro!R8+Macro!N8*Macro!S8)*4*K8/(POWER(1000,3))</f>
        <v>8846.3271859199995</v>
      </c>
      <c r="Q8" s="9">
        <f>N8/(GPUs!$C$2*Macro!X8)</f>
        <v>3.2131422022804057</v>
      </c>
      <c r="R8" s="9">
        <f>O8/GPUs!$E$2</f>
        <v>0.28643028237757007</v>
      </c>
      <c r="S8" s="9">
        <f>P8/GPUs!$G$2</f>
        <v>0.91199249339381439</v>
      </c>
      <c r="T8" s="9">
        <f t="shared" si="2"/>
        <v>4.8197133034206088</v>
      </c>
      <c r="U8" s="2">
        <f t="shared" si="0"/>
        <v>5402.445662799144</v>
      </c>
    </row>
    <row r="9" spans="1:21" x14ac:dyDescent="0.3">
      <c r="A9" s="1" t="str">
        <f>Macro!A9</f>
        <v>box2d4r</v>
      </c>
      <c r="B9" s="1">
        <f>Macro!B9</f>
        <v>2</v>
      </c>
      <c r="C9" s="1">
        <f>Macro!C9</f>
        <v>4</v>
      </c>
      <c r="D9" s="1">
        <f>Macro!D9</f>
        <v>161</v>
      </c>
      <c r="E9" s="1">
        <f>Macro!E9</f>
        <v>16384</v>
      </c>
      <c r="F9" s="1">
        <f>Macro!F9</f>
        <v>1000</v>
      </c>
      <c r="G9" s="1">
        <f>Macro!G9</f>
        <v>16</v>
      </c>
      <c r="H9" s="1">
        <f>Macro!H9</f>
        <v>512</v>
      </c>
      <c r="J9" s="1">
        <f>Macro!J9</f>
        <v>1024</v>
      </c>
      <c r="K9" s="1">
        <f t="shared" si="1"/>
        <v>63</v>
      </c>
      <c r="L9" s="2">
        <f>CEILING(E9/Formula!K9,1)*CEILING(E9/J9,1)</f>
        <v>688</v>
      </c>
      <c r="M9" s="5">
        <f>FLOOR(L9/((2048/H9)*GPUs!$B$2),1)/(CEILING(L9/((2048/H9)*GPUs!$B$2),1))</f>
        <v>0.75</v>
      </c>
      <c r="N9" s="2">
        <f>Macro!M9*(2*Macro!T9+Macro!U9+Macro!V9+Macro!W9)*CEILING(F9/G9,1)/POWER(1000,3)</f>
        <v>52513.197778943999</v>
      </c>
      <c r="O9" s="2">
        <f>(Formula!V9+Formula!W9)*4*K9/(POWER(1000,3))</f>
        <v>160.197698304</v>
      </c>
      <c r="P9" s="2">
        <f>(Macro!M9*Macro!R9+Macro!N9*Macro!S9)*4*K9/(POWER(1000,3))</f>
        <v>11972.390879232</v>
      </c>
      <c r="Q9" s="9">
        <f>N9/(GPUs!$C$2*Macro!X9)</f>
        <v>5.4727155972972978</v>
      </c>
      <c r="R9" s="9">
        <f>O9/GPUs!$E$2</f>
        <v>0.29943495010093457</v>
      </c>
      <c r="S9" s="9">
        <f>P9/GPUs!$G$2</f>
        <v>1.2342671009517525</v>
      </c>
      <c r="T9" s="9">
        <f t="shared" si="2"/>
        <v>7.2969541297297305</v>
      </c>
      <c r="U9" s="2">
        <f t="shared" si="0"/>
        <v>5922.7600513367543</v>
      </c>
    </row>
    <row r="10" spans="1:21" x14ac:dyDescent="0.3">
      <c r="A10" s="1" t="str">
        <f>Formula!A10</f>
        <v>gradient2d</v>
      </c>
      <c r="B10" s="1">
        <f>Formula!B10</f>
        <v>2</v>
      </c>
      <c r="C10" s="1">
        <f>Formula!C10</f>
        <v>1</v>
      </c>
      <c r="D10" s="1">
        <f>Formula!D10</f>
        <v>19</v>
      </c>
      <c r="E10" s="1">
        <f>Formula!E10</f>
        <v>16384</v>
      </c>
      <c r="F10" s="1">
        <f>Formula!F10</f>
        <v>1000</v>
      </c>
      <c r="G10" s="1">
        <f>Formula!G10</f>
        <v>16</v>
      </c>
      <c r="H10" s="1">
        <f>Formula!H10</f>
        <v>512</v>
      </c>
      <c r="J10" s="1">
        <f>Formula!J10</f>
        <v>1024</v>
      </c>
      <c r="K10" s="1">
        <f t="shared" si="1"/>
        <v>63</v>
      </c>
      <c r="L10" s="2">
        <f>CEILING(E10/Formula!K10,1)*CEILING(E10/J10,1)</f>
        <v>560</v>
      </c>
      <c r="M10" s="5">
        <f>FLOOR(L10/((2048/H10)*GPUs!$B$2),1)/(CEILING(L10/((2048/H10)*GPUs!$B$2),1))</f>
        <v>0.66666666666666663</v>
      </c>
      <c r="N10" s="2">
        <f>Macro!M10*(2*Macro!T10+Macro!U10+Macro!V10+Macro!W10)*CEILING(F10/G10,1)/POWER(1000,3)</f>
        <v>4228.6410028800001</v>
      </c>
      <c r="O10" s="2">
        <f>(Formula!V10+Formula!W10)*4*K10/(POWER(1000,3))</f>
        <v>141.91428887999999</v>
      </c>
      <c r="P10" s="2">
        <f>(Macro!M10*Macro!R10+Macro!N10*Macro!S10)*4*K10/(POWER(1000,3))</f>
        <v>3455.4770933760001</v>
      </c>
      <c r="Q10" s="9">
        <f>N10/(GPUs!$C$2*Macro!X10)</f>
        <v>0.58461846233108117</v>
      </c>
      <c r="R10" s="9">
        <f>O10/GPUs!$E$2</f>
        <v>0.26526035304672896</v>
      </c>
      <c r="S10" s="9">
        <f>P10/GPUs!$G$2</f>
        <v>0.35623475189443299</v>
      </c>
      <c r="T10" s="9">
        <f t="shared" si="2"/>
        <v>0.87692769349662181</v>
      </c>
      <c r="U10" s="2">
        <f t="shared" si="0"/>
        <v>5816.0709278816357</v>
      </c>
    </row>
    <row r="11" spans="1:21" x14ac:dyDescent="0.3">
      <c r="A11" s="1" t="str">
        <f>Formula!A11</f>
        <v>j2d5pt</v>
      </c>
      <c r="B11" s="1">
        <f>Formula!B11</f>
        <v>2</v>
      </c>
      <c r="C11" s="1">
        <f>Formula!C11</f>
        <v>1</v>
      </c>
      <c r="D11" s="1">
        <f>Formula!D11</f>
        <v>10</v>
      </c>
      <c r="E11" s="1">
        <f>Formula!E11</f>
        <v>16384</v>
      </c>
      <c r="F11" s="1">
        <f>Formula!F11</f>
        <v>1000</v>
      </c>
      <c r="G11" s="1">
        <f>Formula!G11</f>
        <v>16</v>
      </c>
      <c r="H11" s="1">
        <f>Formula!H11</f>
        <v>512</v>
      </c>
      <c r="J11" s="1">
        <f>Formula!J11</f>
        <v>1024</v>
      </c>
      <c r="K11" s="1">
        <f t="shared" si="1"/>
        <v>63</v>
      </c>
      <c r="L11" s="2">
        <f>CEILING(E11/Formula!K11,1)*CEILING(E11/J11,1)</f>
        <v>560</v>
      </c>
      <c r="M11" s="5">
        <f>FLOOR(L11/((2048/H11)*GPUs!$B$2),1)/(CEILING(L11/((2048/H11)*GPUs!$B$2),1))</f>
        <v>0.66666666666666663</v>
      </c>
      <c r="N11" s="2">
        <f>Macro!M11*(2*Macro!T11+Macro!U11+Macro!V11+Macro!W11)*CEILING(F11/G11,1)/POWER(1000,3)</f>
        <v>2819.0940019200002</v>
      </c>
      <c r="O11" s="2">
        <f>(Formula!V11+Formula!W11)*4*K11/(POWER(1000,3))</f>
        <v>141.91428887999999</v>
      </c>
      <c r="P11" s="2">
        <f>(Macro!M11*Macro!R11+Macro!N11*Macro!S11)*4*K11/(POWER(1000,3))</f>
        <v>3455.4770933760001</v>
      </c>
      <c r="Q11" s="9">
        <f>N11/(GPUs!$C$2*Macro!X11)</f>
        <v>0.31888279763513516</v>
      </c>
      <c r="R11" s="9">
        <f>O11/GPUs!$E$2</f>
        <v>0.26526035304672896</v>
      </c>
      <c r="S11" s="9">
        <f>P11/GPUs!$G$2</f>
        <v>0.35623475189443299</v>
      </c>
      <c r="T11" s="9">
        <f t="shared" si="2"/>
        <v>0.53435212784164954</v>
      </c>
      <c r="U11" s="2">
        <f t="shared" si="0"/>
        <v>5023.5685798475652</v>
      </c>
    </row>
    <row r="12" spans="1:21" x14ac:dyDescent="0.3">
      <c r="A12" s="1" t="str">
        <f>Formula!A12</f>
        <v>j2d9pt-gol</v>
      </c>
      <c r="B12" s="1">
        <f>Formula!B12</f>
        <v>2</v>
      </c>
      <c r="C12" s="1">
        <f>Formula!C12</f>
        <v>1</v>
      </c>
      <c r="D12" s="1">
        <f>Formula!D12</f>
        <v>18</v>
      </c>
      <c r="E12" s="1">
        <f>Formula!E12</f>
        <v>16384</v>
      </c>
      <c r="F12" s="1">
        <f>Formula!F12</f>
        <v>1000</v>
      </c>
      <c r="G12" s="1">
        <f>Formula!G12</f>
        <v>16</v>
      </c>
      <c r="H12" s="1">
        <f>Formula!H12</f>
        <v>512</v>
      </c>
      <c r="J12" s="1">
        <f>Formula!J12</f>
        <v>1024</v>
      </c>
      <c r="K12" s="1">
        <f t="shared" si="1"/>
        <v>63</v>
      </c>
      <c r="L12" s="2">
        <f>CEILING(E12/Formula!K12,1)*CEILING(E12/J12,1)</f>
        <v>560</v>
      </c>
      <c r="M12" s="5">
        <f>FLOOR(L12/((2048/H12)*GPUs!$B$2),1)/(CEILING(L12/((2048/H12)*GPUs!$B$2),1))</f>
        <v>0.66666666666666663</v>
      </c>
      <c r="N12" s="2">
        <f>Macro!M12*(2*Macro!T12+Macro!U12+Macro!V12+Macro!W12)*CEILING(F12/G12,1)/POWER(1000,3)</f>
        <v>5638.1880038400004</v>
      </c>
      <c r="O12" s="2">
        <f>(Formula!V12+Formula!W12)*4*K12/(POWER(1000,3))</f>
        <v>141.91428887999999</v>
      </c>
      <c r="P12" s="2">
        <f>(Macro!M12*Macro!R12+Macro!N12*Macro!S12)*4*K12/(POWER(1000,3))</f>
        <v>3455.4770933760001</v>
      </c>
      <c r="Q12" s="9">
        <f>N12/(GPUs!$C$2*Macro!X12)</f>
        <v>0.63776559527027032</v>
      </c>
      <c r="R12" s="9">
        <f>O12/GPUs!$E$2</f>
        <v>0.26526035304672896</v>
      </c>
      <c r="S12" s="9">
        <f>P12/GPUs!$G$2</f>
        <v>0.35623475189443299</v>
      </c>
      <c r="T12" s="9">
        <f t="shared" si="2"/>
        <v>0.95664839290540549</v>
      </c>
      <c r="U12" s="2">
        <f t="shared" si="0"/>
        <v>5050.798437370895</v>
      </c>
    </row>
    <row r="13" spans="1:21" x14ac:dyDescent="0.3">
      <c r="A13" s="1" t="str">
        <f>Formula!A13</f>
        <v>j2d9pt</v>
      </c>
      <c r="B13" s="1">
        <f>Formula!B13</f>
        <v>2</v>
      </c>
      <c r="C13" s="1">
        <f>Formula!C13</f>
        <v>2</v>
      </c>
      <c r="D13" s="1">
        <f>Formula!D13</f>
        <v>18</v>
      </c>
      <c r="E13" s="1">
        <f>Formula!E13</f>
        <v>16384</v>
      </c>
      <c r="F13" s="1">
        <f>Formula!F13</f>
        <v>1000</v>
      </c>
      <c r="G13" s="1">
        <f>Formula!G13</f>
        <v>16</v>
      </c>
      <c r="H13" s="1">
        <f>Formula!H13</f>
        <v>512</v>
      </c>
      <c r="J13" s="1">
        <f>Formula!J13</f>
        <v>1024</v>
      </c>
      <c r="K13" s="1">
        <f t="shared" si="1"/>
        <v>63</v>
      </c>
      <c r="L13" s="2">
        <f>CEILING(E13/Formula!K13,1)*CEILING(E13/J13,1)</f>
        <v>592</v>
      </c>
      <c r="M13" s="5">
        <f>FLOOR(L13/((2048/H13)*GPUs!$B$2),1)/(CEILING(L13/((2048/H13)*GPUs!$B$2),1))</f>
        <v>0.66666666666666663</v>
      </c>
      <c r="N13" s="2">
        <f>Macro!M13*(2*Macro!T13+Macro!U13+Macro!V13+Macro!W13)*CEILING(F13/G13,1)/POWER(1000,3)</f>
        <v>6437.8978836480001</v>
      </c>
      <c r="O13" s="2">
        <f>(Formula!V13+Formula!W13)*4*K13/(POWER(1000,3))</f>
        <v>147.10049222399999</v>
      </c>
      <c r="P13" s="2">
        <f>(Macro!M13*Macro!R13+Macro!N13*Macro!S13)*4*K13/(POWER(1000,3))</f>
        <v>5968.2311700480004</v>
      </c>
      <c r="Q13" s="9">
        <f>N13/(GPUs!$C$2*Macro!X13)</f>
        <v>0.77235990810810828</v>
      </c>
      <c r="R13" s="9">
        <f>O13/GPUs!$E$2</f>
        <v>0.2749541910728972</v>
      </c>
      <c r="S13" s="9">
        <f>P13/GPUs!$G$2</f>
        <v>0.61528156392247424</v>
      </c>
      <c r="T13" s="9">
        <f t="shared" si="2"/>
        <v>1.1585398621621625</v>
      </c>
      <c r="U13" s="2">
        <f t="shared" si="0"/>
        <v>4170.6274991543451</v>
      </c>
    </row>
    <row r="14" spans="1:21" x14ac:dyDescent="0.3">
      <c r="A14" s="1" t="str">
        <f>Macro!A14</f>
        <v>star3d1r</v>
      </c>
      <c r="B14" s="1">
        <f>Macro!B14</f>
        <v>3</v>
      </c>
      <c r="C14" s="1">
        <f>Macro!C14</f>
        <v>1</v>
      </c>
      <c r="D14" s="1">
        <f>Macro!D14</f>
        <v>13</v>
      </c>
      <c r="E14" s="1">
        <f>Macro!E14</f>
        <v>512</v>
      </c>
      <c r="F14" s="1">
        <f>Macro!F14</f>
        <v>1000</v>
      </c>
      <c r="G14" s="1">
        <f>Macro!G14</f>
        <v>7</v>
      </c>
      <c r="H14" s="1">
        <f>Macro!H14</f>
        <v>64</v>
      </c>
      <c r="I14" s="1">
        <f>Macro!I14</f>
        <v>16</v>
      </c>
      <c r="J14" s="1">
        <f>Macro!J14</f>
        <v>256</v>
      </c>
      <c r="K14" s="1">
        <f t="shared" si="1"/>
        <v>143</v>
      </c>
      <c r="L14" s="2">
        <f>CEILING(E14/Formula!K14,1)*CEILING(E14/Formula!L14,1)*CEILING(E14/J14,1)</f>
        <v>5632</v>
      </c>
      <c r="M14" s="5">
        <f>FLOOR(L14/((2048/(H14*I14))*GPUs!$B$2),1)/(CEILING(L14/((2048/(H14*I14))*GPUs!$B$2),1))</f>
        <v>0.98039215686274506</v>
      </c>
      <c r="N14" s="2">
        <f>Macro!M14*(2*Macro!T14+Macro!U14+Macro!V14+Macro!W14)*CEILING(F14/G14,1)/POWER(1000,3)</f>
        <v>8047.2362553439998</v>
      </c>
      <c r="O14" s="2">
        <f>(Formula!V14+Formula!W14)*4*K14/(POWER(1000,3))</f>
        <v>847.16582579199996</v>
      </c>
      <c r="P14" s="2">
        <f>(Macro!M14*Macro!R14+Macro!N14*Macro!S14)*4*K14/(POWER(1000,3))</f>
        <v>15908.143350528</v>
      </c>
      <c r="Q14" s="9">
        <f>N14/(GPUs!$C$2*Macro!X14)</f>
        <v>0.81690531763091223</v>
      </c>
      <c r="R14" s="9">
        <f>O14/GPUs!$E$2</f>
        <v>1.5834875248448597</v>
      </c>
      <c r="S14" s="9">
        <f>P14/GPUs!$G$2</f>
        <v>1.6400147784049484</v>
      </c>
      <c r="T14" s="9">
        <f t="shared" si="2"/>
        <v>1.6728150739730474</v>
      </c>
      <c r="U14" s="2">
        <f>(F14*POWER(E14,3)*D14)/(T14*POWER(1000,3))</f>
        <v>1043.0504191093348</v>
      </c>
    </row>
    <row r="15" spans="1:21" x14ac:dyDescent="0.3">
      <c r="A15" s="1" t="str">
        <f>Macro!A15</f>
        <v>star3d2r</v>
      </c>
      <c r="B15" s="1">
        <f>Macro!B15</f>
        <v>3</v>
      </c>
      <c r="C15" s="1">
        <f>Macro!C15</f>
        <v>2</v>
      </c>
      <c r="D15" s="1">
        <f>Macro!D15</f>
        <v>25</v>
      </c>
      <c r="E15" s="1">
        <f>Macro!E15</f>
        <v>512</v>
      </c>
      <c r="F15" s="1">
        <f>Macro!F15</f>
        <v>1000</v>
      </c>
      <c r="G15" s="1">
        <f>Macro!G15</f>
        <v>3</v>
      </c>
      <c r="H15" s="1">
        <f>Macro!H15</f>
        <v>64</v>
      </c>
      <c r="I15" s="1">
        <f>Macro!I15</f>
        <v>16</v>
      </c>
      <c r="J15" s="1">
        <f>Macro!J15</f>
        <v>256</v>
      </c>
      <c r="K15" s="1">
        <f t="shared" si="1"/>
        <v>334</v>
      </c>
      <c r="L15" s="2">
        <f>CEILING(E15/Formula!K15,1)*CEILING(E15/Formula!L15,1)*CEILING(E15/J15,1)</f>
        <v>2560</v>
      </c>
      <c r="M15" s="5">
        <f>FLOOR(L15/((2048/(H15*I15))*GPUs!$B$2),1)/(CEILING(L15/((2048/(H15*I15))*GPUs!$B$2),1))</f>
        <v>0.95652173913043481</v>
      </c>
      <c r="N15" s="2">
        <f>Macro!M15*(2*Macro!T15+Macro!U15+Macro!V15+Macro!W15)*CEILING(F15/G15,1)/POWER(1000,3)</f>
        <v>6988.9264863999997</v>
      </c>
      <c r="O15" s="2">
        <f>(Formula!V15+Formula!W15)*4*K15/(POWER(1000,3))</f>
        <v>883.04478310399998</v>
      </c>
      <c r="P15" s="2">
        <f>(Macro!M15*Macro!R15+Macro!N15*Macro!S15)*4*K15/(POWER(1000,3))</f>
        <v>11677.576097792</v>
      </c>
      <c r="Q15" s="9">
        <f>N15/(GPUs!$C$2*Macro!X15)</f>
        <v>0.68514753501447878</v>
      </c>
      <c r="R15" s="9">
        <f>O15/GPUs!$E$2</f>
        <v>1.6505509964560747</v>
      </c>
      <c r="S15" s="9">
        <f>P15/GPUs!$G$2</f>
        <v>1.2038738245146392</v>
      </c>
      <c r="T15" s="9">
        <f t="shared" si="2"/>
        <v>1.7255760417495327</v>
      </c>
      <c r="U15" s="2">
        <f t="shared" ref="U15:U22" si="3">(F15*POWER(E15,3)*D15)/(T15*POWER(1000,3))</f>
        <v>1944.5351110681695</v>
      </c>
    </row>
    <row r="16" spans="1:21" x14ac:dyDescent="0.3">
      <c r="A16" s="1" t="str">
        <f>Macro!A16</f>
        <v>star3d3r</v>
      </c>
      <c r="B16" s="1">
        <f>Macro!B16</f>
        <v>3</v>
      </c>
      <c r="C16" s="1">
        <f>Macro!C16</f>
        <v>3</v>
      </c>
      <c r="D16" s="1">
        <f>Macro!D16</f>
        <v>37</v>
      </c>
      <c r="E16" s="1">
        <f>Macro!E16</f>
        <v>512</v>
      </c>
      <c r="F16" s="1">
        <f>Macro!F16</f>
        <v>1000</v>
      </c>
      <c r="G16" s="1">
        <f>Macro!G16</f>
        <v>2</v>
      </c>
      <c r="H16" s="1">
        <f>Macro!H16</f>
        <v>64</v>
      </c>
      <c r="I16" s="1">
        <f>Macro!I16</f>
        <v>16</v>
      </c>
      <c r="J16" s="1">
        <f>Macro!J16</f>
        <v>256</v>
      </c>
      <c r="K16" s="1">
        <f t="shared" si="1"/>
        <v>500</v>
      </c>
      <c r="L16" s="2">
        <f>CEILING(E16/Formula!K16,1)*CEILING(E16/Formula!L16,1)*CEILING(E16/J16,1)</f>
        <v>2560</v>
      </c>
      <c r="M16" s="5">
        <f>FLOOR(L16/((2048/(H16*I16))*GPUs!$B$2),1)/(CEILING(L16/((2048/(H16*I16))*GPUs!$B$2),1))</f>
        <v>0.95652173913043481</v>
      </c>
      <c r="N16" s="2">
        <f>Macro!M16*(2*Macro!T16+Macro!U16+Macro!V16+Macro!W16)*CEILING(F16/G16,1)/POWER(1000,3)</f>
        <v>8938.6663119999994</v>
      </c>
      <c r="O16" s="2">
        <f>(Formula!V16+Formula!W16)*4*K16/(POWER(1000,3))</f>
        <v>1175.717392</v>
      </c>
      <c r="P16" s="2">
        <f>(Macro!M16*Macro!R16+Macro!N16*Macro!S16)*4*K16/(POWER(1000,3))</f>
        <v>14327.648128000001</v>
      </c>
      <c r="Q16" s="9">
        <f>N16/(GPUs!$C$2*Macro!X16)</f>
        <v>0.86535615196669891</v>
      </c>
      <c r="R16" s="9">
        <f>O16/GPUs!$E$2</f>
        <v>2.1976026018691588</v>
      </c>
      <c r="S16" s="9">
        <f>P16/GPUs!$G$2</f>
        <v>1.4770771265979383</v>
      </c>
      <c r="T16" s="9">
        <f t="shared" si="2"/>
        <v>2.2974936292268477</v>
      </c>
      <c r="U16" s="2">
        <f t="shared" si="3"/>
        <v>2161.5102095718007</v>
      </c>
    </row>
    <row r="17" spans="1:21" x14ac:dyDescent="0.3">
      <c r="A17" s="1" t="str">
        <f>Macro!A17</f>
        <v>star3d4r</v>
      </c>
      <c r="B17" s="1">
        <f>Macro!B17</f>
        <v>3</v>
      </c>
      <c r="C17" s="1">
        <f>Macro!C17</f>
        <v>4</v>
      </c>
      <c r="D17" s="1">
        <f>Macro!D17</f>
        <v>49</v>
      </c>
      <c r="E17" s="1">
        <f>Macro!E17</f>
        <v>512</v>
      </c>
      <c r="F17" s="1">
        <f>Macro!F17</f>
        <v>1000</v>
      </c>
      <c r="G17" s="1">
        <f>Macro!G17</f>
        <v>1</v>
      </c>
      <c r="H17" s="1">
        <f>Macro!H17</f>
        <v>64</v>
      </c>
      <c r="I17" s="1">
        <f>Macro!I17</f>
        <v>16</v>
      </c>
      <c r="J17" s="1">
        <f>Macro!J17</f>
        <v>256</v>
      </c>
      <c r="K17" s="1">
        <f t="shared" si="1"/>
        <v>1000</v>
      </c>
      <c r="L17" s="2">
        <f>CEILING(E17/Formula!K17,1)*CEILING(E17/Formula!L17,1)*CEILING(E17/J17,1)</f>
        <v>1280</v>
      </c>
      <c r="M17" s="5">
        <f>FLOOR(L17/((2048/(H17*I17))*GPUs!$B$2),1)/(CEILING(L17/((2048/(H17*I17))*GPUs!$B$2),1))</f>
        <v>0.91666666666666663</v>
      </c>
      <c r="N17" s="2">
        <f>Macro!M17*(2*Macro!T17+Macro!U17+Macro!V17+Macro!W17)*CEILING(F17/G17,1)/POWER(1000,3)</f>
        <v>6679.4291199999998</v>
      </c>
      <c r="O17" s="2">
        <f>(Formula!V17+Formula!W17)*4*K17/(POWER(1000,3))</f>
        <v>1186.8569600000001</v>
      </c>
      <c r="P17" s="2">
        <f>(Macro!M17*Macro!R17+Macro!N17*Macro!S17)*4*K17/(POWER(1000,3))</f>
        <v>10087.30112</v>
      </c>
      <c r="Q17" s="9">
        <f>N17/(GPUs!$C$2*Macro!X17)</f>
        <v>0.64247104247104247</v>
      </c>
      <c r="R17" s="9">
        <f>O17/GPUs!$E$2</f>
        <v>2.2184242242990657</v>
      </c>
      <c r="S17" s="9">
        <f>P17/GPUs!$G$2</f>
        <v>1.0399279505154639</v>
      </c>
      <c r="T17" s="9">
        <f t="shared" si="2"/>
        <v>2.4200991537807992</v>
      </c>
      <c r="U17" s="2">
        <f t="shared" si="3"/>
        <v>2717.5203386710832</v>
      </c>
    </row>
    <row r="18" spans="1:21" x14ac:dyDescent="0.3">
      <c r="A18" s="1" t="str">
        <f>Macro!A18</f>
        <v>box3d1r</v>
      </c>
      <c r="B18" s="1">
        <f>Macro!B18</f>
        <v>3</v>
      </c>
      <c r="C18" s="1">
        <f>Macro!C18</f>
        <v>1</v>
      </c>
      <c r="D18" s="1">
        <f>Macro!D18</f>
        <v>53</v>
      </c>
      <c r="E18" s="1">
        <f>Macro!E18</f>
        <v>512</v>
      </c>
      <c r="F18" s="1">
        <f>Macro!F18</f>
        <v>1000</v>
      </c>
      <c r="G18" s="1">
        <f>Macro!G18</f>
        <v>7</v>
      </c>
      <c r="H18" s="1">
        <f>Macro!H18</f>
        <v>64</v>
      </c>
      <c r="I18" s="1">
        <f>Macro!I18</f>
        <v>16</v>
      </c>
      <c r="J18" s="1">
        <f>Macro!J18</f>
        <v>256</v>
      </c>
      <c r="K18" s="1">
        <f t="shared" si="1"/>
        <v>143</v>
      </c>
      <c r="L18" s="2">
        <f>CEILING(E18/Formula!K18,1)*CEILING(E18/Formula!L18,1)*CEILING(E18/J18,1)</f>
        <v>5632</v>
      </c>
      <c r="M18" s="5">
        <f>FLOOR(L18/((2048/(H18*I18))*GPUs!$B$2),1)/(CEILING(L18/((2048/(H18*I18))*GPUs!$B$2),1))</f>
        <v>0.98039215686274506</v>
      </c>
      <c r="N18" s="2">
        <f>Macro!M18*(2*Macro!T18+Macro!U18+Macro!V18+Macro!W18)*CEILING(F18/G18,1)/POWER(1000,3)</f>
        <v>32807.963194864002</v>
      </c>
      <c r="O18" s="2">
        <f>(Formula!V18+Formula!W18)*4*K18/(POWER(1000,3))</f>
        <v>847.16582579199996</v>
      </c>
      <c r="P18" s="2">
        <f>(Macro!M18*Macro!R18+Macro!N18*Macro!S18)*4*K18/(POWER(1000,3))</f>
        <v>25812.434126336</v>
      </c>
      <c r="Q18" s="9">
        <f>N18/(GPUs!$C$2*Macro!X18)</f>
        <v>3.3843220301852073</v>
      </c>
      <c r="R18" s="9">
        <f>O18/GPUs!$E$2</f>
        <v>1.5834875248448597</v>
      </c>
      <c r="S18" s="9">
        <f>P18/GPUs!$G$2</f>
        <v>2.6610756831274225</v>
      </c>
      <c r="T18" s="9">
        <f t="shared" si="2"/>
        <v>3.4520084707889116</v>
      </c>
      <c r="U18" s="2">
        <f t="shared" si="3"/>
        <v>2060.6958656663705</v>
      </c>
    </row>
    <row r="19" spans="1:21" x14ac:dyDescent="0.3">
      <c r="A19" s="1" t="str">
        <f>Macro!A19</f>
        <v>box3d2r</v>
      </c>
      <c r="B19" s="1">
        <f>Macro!B19</f>
        <v>3</v>
      </c>
      <c r="C19" s="1">
        <f>Macro!C19</f>
        <v>2</v>
      </c>
      <c r="D19" s="1">
        <f>Macro!D19</f>
        <v>249</v>
      </c>
      <c r="E19" s="1">
        <f>Macro!E19</f>
        <v>512</v>
      </c>
      <c r="F19" s="1">
        <f>Macro!F19</f>
        <v>1000</v>
      </c>
      <c r="G19" s="1">
        <f>Macro!G19</f>
        <v>3</v>
      </c>
      <c r="H19" s="1">
        <f>Macro!H19</f>
        <v>64</v>
      </c>
      <c r="I19" s="1">
        <f>Macro!I19</f>
        <v>16</v>
      </c>
      <c r="J19" s="1">
        <f>Macro!J19</f>
        <v>256</v>
      </c>
      <c r="K19" s="1">
        <f t="shared" si="1"/>
        <v>334</v>
      </c>
      <c r="L19" s="2">
        <f>CEILING(E19/Formula!K19,1)*CEILING(E19/Formula!L19,1)*CEILING(E19/J19,1)</f>
        <v>2560</v>
      </c>
      <c r="M19" s="5">
        <f>FLOOR(L19/((2048/(H19*I19))*GPUs!$B$2),1)/(CEILING(L19/((2048/(H19*I19))*GPUs!$B$2),1))</f>
        <v>0.95652173913043481</v>
      </c>
      <c r="N19" s="2">
        <f>Macro!M19*(2*Macro!T19+Macro!U19+Macro!V19+Macro!W19)*CEILING(F19/G19,1)/POWER(1000,3)</f>
        <v>69609.707804543999</v>
      </c>
      <c r="O19" s="2">
        <f>(Formula!V19+Formula!W19)*4*K19/(POWER(1000,3))</f>
        <v>883.04478310399998</v>
      </c>
      <c r="P19" s="2">
        <f>(Macro!M19*Macro!R19+Macro!N19*Macro!S19)*4*K19/(POWER(1000,3))</f>
        <v>29569.227902975999</v>
      </c>
      <c r="Q19" s="9">
        <f>N19/(GPUs!$C$2*Macro!X19)</f>
        <v>6.7987716936052118</v>
      </c>
      <c r="R19" s="9">
        <f>O19/GPUs!$E$2</f>
        <v>1.6505509964560747</v>
      </c>
      <c r="S19" s="9">
        <f>P19/GPUs!$G$2</f>
        <v>3.0483740106160826</v>
      </c>
      <c r="T19" s="9">
        <f t="shared" si="2"/>
        <v>7.107806770587267</v>
      </c>
      <c r="U19" s="2">
        <f t="shared" si="3"/>
        <v>4701.9024785951979</v>
      </c>
    </row>
    <row r="20" spans="1:21" x14ac:dyDescent="0.3">
      <c r="A20" s="1" t="str">
        <f>Macro!A20</f>
        <v>box3d3r</v>
      </c>
      <c r="B20" s="1">
        <f>Macro!B20</f>
        <v>3</v>
      </c>
      <c r="C20" s="1">
        <f>Macro!C20</f>
        <v>3</v>
      </c>
      <c r="D20" s="1">
        <f>Macro!D20</f>
        <v>685</v>
      </c>
      <c r="E20" s="1">
        <f>Macro!E20</f>
        <v>512</v>
      </c>
      <c r="F20" s="1">
        <f>Macro!F20</f>
        <v>1000</v>
      </c>
      <c r="G20" s="1">
        <f>Macro!G20</f>
        <v>2</v>
      </c>
      <c r="H20" s="1">
        <f>Macro!H20</f>
        <v>64</v>
      </c>
      <c r="I20" s="1">
        <f>Macro!I20</f>
        <v>16</v>
      </c>
      <c r="J20" s="1">
        <f>Macro!J20</f>
        <v>256</v>
      </c>
      <c r="K20" s="1">
        <f t="shared" si="1"/>
        <v>500</v>
      </c>
      <c r="L20" s="2">
        <f>CEILING(E20/Formula!K20,1)*CEILING(E20/Formula!L20,1)*CEILING(E20/J20,1)</f>
        <v>2560</v>
      </c>
      <c r="M20" s="5">
        <f>FLOOR(L20/((2048/(H20*I20))*GPUs!$B$2),1)/(CEILING(L20/((2048/(H20*I20))*GPUs!$B$2),1))</f>
        <v>0.95652173913043481</v>
      </c>
      <c r="N20" s="2">
        <f>Macro!M20*(2*Macro!T20+Macro!U20+Macro!V20+Macro!W20)*CEILING(F20/G20,1)/POWER(1000,3)</f>
        <v>165486.11955999999</v>
      </c>
      <c r="O20" s="2">
        <f>(Formula!V20+Formula!W20)*4*K20/(POWER(1000,3))</f>
        <v>1175.717392</v>
      </c>
      <c r="P20" s="2">
        <f>(Macro!M20*Macro!R20+Macro!N20*Macro!S20)*4*K20/(POWER(1000,3))</f>
        <v>49115.971072</v>
      </c>
      <c r="Q20" s="9">
        <f>N20/(GPUs!$C$2*Macro!X20)</f>
        <v>15.895226159809363</v>
      </c>
      <c r="R20" s="9">
        <f>O20/GPUs!$E$2</f>
        <v>2.1976026018691588</v>
      </c>
      <c r="S20" s="9">
        <f>P20/GPUs!$G$2</f>
        <v>5.063502172371134</v>
      </c>
      <c r="T20" s="9">
        <f t="shared" si="2"/>
        <v>16.617736439800698</v>
      </c>
      <c r="U20" s="2">
        <f t="shared" si="3"/>
        <v>5532.5912775821262</v>
      </c>
    </row>
    <row r="21" spans="1:21" x14ac:dyDescent="0.3">
      <c r="A21" s="1" t="str">
        <f>Macro!A21</f>
        <v>box3d4r</v>
      </c>
      <c r="B21" s="1">
        <f>Macro!B21</f>
        <v>3</v>
      </c>
      <c r="C21" s="1">
        <f>Macro!C21</f>
        <v>4</v>
      </c>
      <c r="D21" s="1">
        <f>Macro!D21</f>
        <v>1457</v>
      </c>
      <c r="E21" s="1">
        <f>Macro!E21</f>
        <v>512</v>
      </c>
      <c r="F21" s="1">
        <f>Macro!F21</f>
        <v>1000</v>
      </c>
      <c r="G21" s="1">
        <f>Macro!G21</f>
        <v>1</v>
      </c>
      <c r="H21" s="1">
        <f>Macro!H21</f>
        <v>64</v>
      </c>
      <c r="I21" s="1">
        <f>Macro!I21</f>
        <v>16</v>
      </c>
      <c r="J21" s="1">
        <f>Macro!J21</f>
        <v>256</v>
      </c>
      <c r="K21" s="1">
        <f t="shared" si="1"/>
        <v>1000</v>
      </c>
      <c r="L21" s="2">
        <f>CEILING(E21/Formula!K21,1)*CEILING(E21/Formula!L21,1)*CEILING(E21/J21,1)</f>
        <v>1280</v>
      </c>
      <c r="M21" s="5">
        <f>FLOOR(L21/((2048/(H21*I21))*GPUs!$B$2),1)/(CEILING(L21/((2048/(H21*I21))*GPUs!$B$2),1))</f>
        <v>0.91666666666666663</v>
      </c>
      <c r="N21" s="2">
        <f>Macro!M21*(2*Macro!T21+Macro!U21+Macro!V21+Macro!W21)*CEILING(F21/G21,1)/POWER(1000,3)</f>
        <v>198610.78015999999</v>
      </c>
      <c r="O21" s="2">
        <f>(Formula!V21+Formula!W21)*4*K21/(POWER(1000,3))</f>
        <v>1186.8569600000001</v>
      </c>
      <c r="P21" s="2">
        <f>(Macro!M21*Macro!R21+Macro!N21*Macro!S21)*4*K21/(POWER(1000,3))</f>
        <v>44983.910400000001</v>
      </c>
      <c r="Q21" s="9">
        <f>N21/(GPUs!$C$2*Macro!X21)</f>
        <v>18.940046332046332</v>
      </c>
      <c r="R21" s="9">
        <f>O21/GPUs!$E$2</f>
        <v>2.2184242242990657</v>
      </c>
      <c r="S21" s="9">
        <f>P21/GPUs!$G$2</f>
        <v>4.6375165360824742</v>
      </c>
      <c r="T21" s="9">
        <f t="shared" si="2"/>
        <v>20.661868725868729</v>
      </c>
      <c r="U21" s="2">
        <f t="shared" si="3"/>
        <v>9464.5470983543801</v>
      </c>
    </row>
    <row r="22" spans="1:21" x14ac:dyDescent="0.3">
      <c r="A22" s="1" t="str">
        <f>Formula!A22</f>
        <v>j3d27pt</v>
      </c>
      <c r="B22" s="1">
        <f>Formula!B22</f>
        <v>3</v>
      </c>
      <c r="C22" s="1">
        <f>Formula!C22</f>
        <v>1</v>
      </c>
      <c r="D22" s="1">
        <f>Formula!D22</f>
        <v>54</v>
      </c>
      <c r="E22" s="1">
        <f>Formula!E22</f>
        <v>512</v>
      </c>
      <c r="F22" s="1">
        <f>Formula!F22</f>
        <v>1000</v>
      </c>
      <c r="G22" s="1">
        <f>Formula!G22</f>
        <v>7</v>
      </c>
      <c r="H22" s="1">
        <f>Formula!H22</f>
        <v>64</v>
      </c>
      <c r="I22" s="1">
        <f>Formula!I22</f>
        <v>16</v>
      </c>
      <c r="J22" s="1">
        <f>Formula!J22</f>
        <v>256</v>
      </c>
      <c r="K22" s="1">
        <f t="shared" si="1"/>
        <v>143</v>
      </c>
      <c r="L22" s="2">
        <f>CEILING(E22/Formula!K22,1)*CEILING(E22/Formula!L22,1)*CEILING(E22/J22,1)</f>
        <v>5632</v>
      </c>
      <c r="M22" s="5">
        <f>FLOOR(L22/((2048/(H22*I22))*GPUs!$B$2),1)/(CEILING(L22/((2048/(H22*I22))*GPUs!$B$2),1))</f>
        <v>0.98039215686274506</v>
      </c>
      <c r="N22" s="2">
        <f>Macro!M22*(2*Macro!T22+Macro!U22+Macro!V22+Macro!W22)*CEILING(F22/G22,1)/POWER(1000,3)</f>
        <v>34665.017715328002</v>
      </c>
      <c r="O22" s="2">
        <f>(Formula!V22+Formula!W22)*4*K22/(POWER(1000,3))</f>
        <v>847.16582579199996</v>
      </c>
      <c r="P22" s="2">
        <f>(Macro!M22*Macro!R22+Macro!N22*Macro!S22)*4*K22/(POWER(1000,3))</f>
        <v>25812.434126336</v>
      </c>
      <c r="Q22" s="9">
        <f>N22/(GPUs!$C$2*Macro!X22)</f>
        <v>3.501022789846767</v>
      </c>
      <c r="R22" s="9">
        <f>O22/GPUs!$E$2</f>
        <v>1.5834875248448597</v>
      </c>
      <c r="S22" s="9">
        <f>P22/GPUs!$G$2</f>
        <v>2.6610756831274225</v>
      </c>
      <c r="T22" s="9">
        <f t="shared" si="2"/>
        <v>3.5710432456437022</v>
      </c>
      <c r="U22" s="2">
        <f t="shared" si="3"/>
        <v>2029.5910224110289</v>
      </c>
    </row>
    <row r="23" spans="1:21" x14ac:dyDescent="0.3">
      <c r="N23" s="2"/>
    </row>
    <row r="24" spans="1:21" x14ac:dyDescent="0.3">
      <c r="N24" s="2"/>
    </row>
    <row r="25" spans="1:21" x14ac:dyDescent="0.3">
      <c r="N25" s="2"/>
    </row>
    <row r="26" spans="1:21" x14ac:dyDescent="0.3">
      <c r="N26" s="2"/>
    </row>
    <row r="27" spans="1:21" x14ac:dyDescent="0.3">
      <c r="N27" s="2"/>
    </row>
    <row r="28" spans="1:21" x14ac:dyDescent="0.3">
      <c r="N28" s="2"/>
    </row>
    <row r="29" spans="1:21" x14ac:dyDescent="0.3">
      <c r="N29" s="2"/>
    </row>
    <row r="30" spans="1:21" x14ac:dyDescent="0.3">
      <c r="N30" s="2"/>
    </row>
    <row r="31" spans="1:21" x14ac:dyDescent="0.3">
      <c r="N31" s="2"/>
    </row>
    <row r="32" spans="1:21" x14ac:dyDescent="0.3">
      <c r="N32" s="2"/>
    </row>
    <row r="33" spans="14:14" x14ac:dyDescent="0.3">
      <c r="N33" s="2"/>
    </row>
    <row r="34" spans="14:14" x14ac:dyDescent="0.3">
      <c r="N34" s="2"/>
    </row>
    <row r="35" spans="14:14" x14ac:dyDescent="0.3">
      <c r="N35" s="2"/>
    </row>
    <row r="36" spans="14:14" x14ac:dyDescent="0.3">
      <c r="N36" s="2"/>
    </row>
    <row r="37" spans="14:14" x14ac:dyDescent="0.3">
      <c r="N37" s="2"/>
    </row>
    <row r="38" spans="14:14" x14ac:dyDescent="0.3">
      <c r="N38" s="2"/>
    </row>
    <row r="39" spans="14:14" x14ac:dyDescent="0.3">
      <c r="N39" s="2"/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2E4F3-E5B3-4D22-A794-74933EF1E38C}">
  <sheetPr codeName="Sheet5"/>
  <dimension ref="A1:U23"/>
  <sheetViews>
    <sheetView workbookViewId="0">
      <selection activeCell="M14" sqref="M14:M22"/>
    </sheetView>
  </sheetViews>
  <sheetFormatPr defaultColWidth="9.109375" defaultRowHeight="14.4" x14ac:dyDescent="0.3"/>
  <cols>
    <col min="1" max="1" width="9.6640625" style="1" bestFit="1" customWidth="1"/>
    <col min="2" max="2" width="9.44140625" style="1" bestFit="1" customWidth="1"/>
    <col min="3" max="3" width="6.33203125" style="1" bestFit="1" customWidth="1"/>
    <col min="4" max="4" width="5" style="1" bestFit="1" customWidth="1"/>
    <col min="5" max="5" width="8.6640625" style="1" bestFit="1" customWidth="1"/>
    <col min="6" max="6" width="8.109375" style="1" bestFit="1" customWidth="1"/>
    <col min="7" max="7" width="3" style="1" bestFit="1" customWidth="1"/>
    <col min="8" max="8" width="4" style="1" bestFit="1" customWidth="1"/>
    <col min="9" max="9" width="3.88671875" style="1" bestFit="1" customWidth="1"/>
    <col min="10" max="10" width="5" style="1" bestFit="1" customWidth="1"/>
    <col min="11" max="11" width="6.6640625" style="1" bestFit="1" customWidth="1"/>
    <col min="12" max="12" width="8.88671875" style="1" bestFit="1" customWidth="1"/>
    <col min="13" max="13" width="9.88671875" style="1" bestFit="1" customWidth="1"/>
    <col min="14" max="14" width="11.6640625" style="1" bestFit="1" customWidth="1"/>
    <col min="15" max="15" width="10.88671875" style="1" bestFit="1" customWidth="1"/>
    <col min="16" max="16" width="11.33203125" style="1" bestFit="1" customWidth="1"/>
    <col min="17" max="17" width="8.44140625" style="1" bestFit="1" customWidth="1"/>
    <col min="18" max="18" width="14.6640625" style="1" customWidth="1"/>
    <col min="19" max="19" width="14.6640625" style="1" bestFit="1" customWidth="1"/>
    <col min="20" max="20" width="8.5546875" style="1" bestFit="1" customWidth="1"/>
    <col min="21" max="21" width="11.5546875" style="1" bestFit="1" customWidth="1"/>
    <col min="22" max="16384" width="9.109375" style="1"/>
  </cols>
  <sheetData>
    <row r="1" spans="1:21" ht="43.2" x14ac:dyDescent="0.3">
      <c r="A1" s="1" t="str">
        <f>Macro!A1</f>
        <v>Stencil</v>
      </c>
      <c r="B1" s="1" t="str">
        <f>Macro!B1</f>
        <v>Dimention</v>
      </c>
      <c r="C1" s="1" t="str">
        <f>Macro!C1</f>
        <v>Radius</v>
      </c>
      <c r="D1" s="1" t="str">
        <f>Macro!D1</f>
        <v>FPP</v>
      </c>
      <c r="E1" s="1" t="str">
        <f>Macro!E1</f>
        <v>Input Size</v>
      </c>
      <c r="F1" s="3" t="str">
        <f>Macro!F1</f>
        <v>Iteration Count</v>
      </c>
      <c r="G1" s="1" t="str">
        <f>Macro!G1</f>
        <v>bT</v>
      </c>
      <c r="H1" s="1" t="str">
        <f>Macro!H1</f>
        <v>bS1</v>
      </c>
      <c r="I1" s="1" t="str">
        <f>Macro!I1</f>
        <v>bS2</v>
      </c>
      <c r="J1" s="1" t="str">
        <f>Macro!J1</f>
        <v>sl</v>
      </c>
      <c r="K1" s="3" t="s">
        <v>68</v>
      </c>
      <c r="L1" s="3" t="s">
        <v>69</v>
      </c>
      <c r="M1" s="3" t="s">
        <v>101</v>
      </c>
      <c r="N1" s="3" t="s">
        <v>62</v>
      </c>
      <c r="O1" s="3" t="s">
        <v>55</v>
      </c>
      <c r="P1" s="3" t="s">
        <v>61</v>
      </c>
      <c r="Q1" s="3" t="s">
        <v>63</v>
      </c>
      <c r="R1" s="3" t="s">
        <v>64</v>
      </c>
      <c r="S1" s="3" t="s">
        <v>65</v>
      </c>
      <c r="T1" s="3" t="s">
        <v>66</v>
      </c>
      <c r="U1" s="3" t="s">
        <v>67</v>
      </c>
    </row>
    <row r="2" spans="1:21" x14ac:dyDescent="0.3">
      <c r="A2" s="1" t="str">
        <f>Macro!A2</f>
        <v>star2d1r</v>
      </c>
      <c r="B2" s="1">
        <f>Macro!B2</f>
        <v>2</v>
      </c>
      <c r="C2" s="1">
        <f>Macro!C2</f>
        <v>1</v>
      </c>
      <c r="D2" s="1">
        <f>Macro!D2</f>
        <v>9</v>
      </c>
      <c r="E2" s="1">
        <f>Macro!E2</f>
        <v>16384</v>
      </c>
      <c r="F2" s="1">
        <f>Macro!F2</f>
        <v>1000</v>
      </c>
      <c r="G2" s="1">
        <f>Macro!G2</f>
        <v>16</v>
      </c>
      <c r="H2" s="1">
        <f>Macro!H2</f>
        <v>512</v>
      </c>
      <c r="J2" s="1">
        <f>Macro!J2</f>
        <v>1024</v>
      </c>
      <c r="K2" s="7">
        <f>CEILING(F2/G2,1)</f>
        <v>63</v>
      </c>
      <c r="L2" s="2">
        <f>CEILING(E2/Formula!K2,1)*CEILING(E2/J2,1)</f>
        <v>560</v>
      </c>
      <c r="M2" s="5">
        <f>FLOOR(L2/((2048/H2)*GPUs!$B$2),1)/(CEILING(L2/((2048/H2)*GPUs!$B$2),1))</f>
        <v>0.66666666666666663</v>
      </c>
      <c r="N2" s="2">
        <f>Macro!M2*(2*Macro!T2+Macro!U2+Macro!V2+Macro!W2)*CEILING(F2/G2,1)/POWER(1000,3)</f>
        <v>2537.184601728</v>
      </c>
      <c r="O2" s="2">
        <f>(Formula!V2+Formula!W2)*8*K2/(POWER(1000,3))</f>
        <v>283.82857775999997</v>
      </c>
      <c r="P2" s="2">
        <f>(Macro!M2*Macro!R2+Macro!N2*Macro!S2)*8*K2/(POWER(1000,3))</f>
        <v>6910.9541867520002</v>
      </c>
      <c r="Q2" s="9">
        <f>N2/(GPUs!$D$2*Macro!X2)</f>
        <v>0.5314713293918919</v>
      </c>
      <c r="R2" s="9">
        <f>O2/GPUs!$F$2</f>
        <v>0.52560847733333327</v>
      </c>
      <c r="S2" s="9">
        <f>P2/GPUs!$H$2</f>
        <v>0.68088218588689653</v>
      </c>
      <c r="T2" s="9">
        <f>MAX(Q2,R2,S2)/M2</f>
        <v>1.0213232788303448</v>
      </c>
      <c r="U2" s="2">
        <f>(F2*POWER(E2,2)*D2)/(T2*POWER(1000,3))</f>
        <v>2365.4793287065727</v>
      </c>
    </row>
    <row r="3" spans="1:21" x14ac:dyDescent="0.3">
      <c r="A3" s="1" t="str">
        <f>Macro!A3</f>
        <v>star2d2r</v>
      </c>
      <c r="B3" s="1">
        <f>Macro!B3</f>
        <v>2</v>
      </c>
      <c r="C3" s="1">
        <f>Macro!C3</f>
        <v>2</v>
      </c>
      <c r="D3" s="1">
        <f>Macro!D3</f>
        <v>17</v>
      </c>
      <c r="E3" s="1">
        <f>Macro!E3</f>
        <v>16384</v>
      </c>
      <c r="F3" s="1">
        <f>Macro!F3</f>
        <v>1000</v>
      </c>
      <c r="G3" s="1">
        <f>Macro!G3</f>
        <v>16</v>
      </c>
      <c r="H3" s="1">
        <f>Macro!H3</f>
        <v>512</v>
      </c>
      <c r="J3" s="1">
        <f>Macro!J3</f>
        <v>1024</v>
      </c>
      <c r="K3" s="7">
        <f t="shared" ref="K3:K22" si="0">CEILING(F3/G3,1)</f>
        <v>63</v>
      </c>
      <c r="L3" s="2">
        <f>CEILING(E3/Formula!K3,1)*CEILING(E3/J3,1)</f>
        <v>592</v>
      </c>
      <c r="M3" s="5">
        <f>FLOOR(L3/((2048/H3)*GPUs!$B$2),1)/(CEILING(L3/((2048/H3)*GPUs!$B$2),1))</f>
        <v>0.66666666666666663</v>
      </c>
      <c r="N3" s="2">
        <f>Macro!M3*(2*Macro!T3+Macro!U3+Macro!V3+Macro!W3)*CEILING(F3/G3,1)/POWER(1000,3)</f>
        <v>4974.7392737279997</v>
      </c>
      <c r="O3" s="2">
        <f>(Formula!V3+Formula!W3)*8*K3/(POWER(1000,3))</f>
        <v>294.20098444799999</v>
      </c>
      <c r="P3" s="2">
        <f>(Macro!M3*Macro!R3+Macro!N3*Macro!S3)*8*K3/(POWER(1000,3))</f>
        <v>11936.462340096001</v>
      </c>
      <c r="Q3" s="9">
        <f>N3/(GPUs!$D$2*Macro!X3)</f>
        <v>0.99303416756756746</v>
      </c>
      <c r="R3" s="9">
        <f>O3/GPUs!$F$2</f>
        <v>0.54481663786666668</v>
      </c>
      <c r="S3" s="9">
        <f>P3/GPUs!$H$2</f>
        <v>1.1760061418813794</v>
      </c>
      <c r="T3" s="9">
        <f t="shared" ref="T3:T22" si="1">MAX(Q3,R3,S3)/M3</f>
        <v>1.7640092128220692</v>
      </c>
      <c r="U3" s="2">
        <f t="shared" ref="U3:U13" si="2">(F3*POWER(E3,2)*D3)/(T3*POWER(1000,3))</f>
        <v>2586.9495005071144</v>
      </c>
    </row>
    <row r="4" spans="1:21" x14ac:dyDescent="0.3">
      <c r="A4" s="1" t="str">
        <f>Macro!A4</f>
        <v>star2d3r</v>
      </c>
      <c r="B4" s="1">
        <f>Macro!B4</f>
        <v>2</v>
      </c>
      <c r="C4" s="1">
        <f>Macro!C4</f>
        <v>3</v>
      </c>
      <c r="D4" s="1">
        <f>Macro!D4</f>
        <v>25</v>
      </c>
      <c r="E4" s="1">
        <f>Macro!E4</f>
        <v>16384</v>
      </c>
      <c r="F4" s="1">
        <f>Macro!F4</f>
        <v>1000</v>
      </c>
      <c r="G4" s="1">
        <f>Macro!G4</f>
        <v>16</v>
      </c>
      <c r="H4" s="1">
        <f>Macro!H4</f>
        <v>512</v>
      </c>
      <c r="J4" s="1">
        <f>Macro!J4</f>
        <v>1024</v>
      </c>
      <c r="K4" s="7">
        <f t="shared" si="0"/>
        <v>63</v>
      </c>
      <c r="L4" s="2">
        <f>CEILING(E4/Formula!K4,1)*CEILING(E4/J4,1)</f>
        <v>640</v>
      </c>
      <c r="M4" s="5">
        <f>FLOOR(L4/((2048/H4)*GPUs!$B$2),1)/(CEILING(L4/((2048/H4)*GPUs!$B$2),1))</f>
        <v>0.66666666666666663</v>
      </c>
      <c r="N4" s="2">
        <f>Macro!M4*(2*Macro!T4+Macro!U4+Macro!V4+Macro!W4)*CEILING(F4/G4,1)/POWER(1000,3)</f>
        <v>7747.0611120000003</v>
      </c>
      <c r="O4" s="2">
        <f>(Formula!V4+Formula!W4)*8*K4/(POWER(1000,3))</f>
        <v>306.48040214399998</v>
      </c>
      <c r="P4" s="2">
        <f>(Macro!M4*Macro!R4+Macro!N4*Macro!S4)*8*K4/(POWER(1000,3))</f>
        <v>17692.654371839999</v>
      </c>
      <c r="Q4" s="9">
        <f>N4/(GPUs!$D$2*Macro!X4)</f>
        <v>1.5189399501689189</v>
      </c>
      <c r="R4" s="9">
        <f>O4/GPUs!$F$2</f>
        <v>0.56755630026666659</v>
      </c>
      <c r="S4" s="9">
        <f>P4/GPUs!$H$2</f>
        <v>1.7431186573241377</v>
      </c>
      <c r="T4" s="9">
        <f t="shared" si="1"/>
        <v>2.6146779859862068</v>
      </c>
      <c r="U4" s="2">
        <f t="shared" si="2"/>
        <v>2566.6206071906713</v>
      </c>
    </row>
    <row r="5" spans="1:21" x14ac:dyDescent="0.3">
      <c r="A5" s="1" t="str">
        <f>Macro!A5</f>
        <v>star2d4r</v>
      </c>
      <c r="B5" s="1">
        <f>Macro!B5</f>
        <v>2</v>
      </c>
      <c r="C5" s="1">
        <f>Macro!C5</f>
        <v>4</v>
      </c>
      <c r="D5" s="1">
        <f>Macro!D5</f>
        <v>33</v>
      </c>
      <c r="E5" s="1">
        <f>Macro!E5</f>
        <v>16384</v>
      </c>
      <c r="F5" s="1">
        <f>Macro!F5</f>
        <v>1000</v>
      </c>
      <c r="G5" s="1">
        <f>Macro!G5</f>
        <v>16</v>
      </c>
      <c r="H5" s="1">
        <f>Macro!H5</f>
        <v>512</v>
      </c>
      <c r="J5" s="1">
        <f>Macro!J5</f>
        <v>1024</v>
      </c>
      <c r="K5" s="7">
        <f t="shared" si="0"/>
        <v>63</v>
      </c>
      <c r="L5" s="2">
        <f>CEILING(E5/Formula!K5,1)*CEILING(E5/J5,1)</f>
        <v>688</v>
      </c>
      <c r="M5" s="5">
        <f>FLOOR(L5/((2048/H5)*GPUs!$B$2),1)/(CEILING(L5/((2048/H5)*GPUs!$B$2),1))</f>
        <v>0.75</v>
      </c>
      <c r="N5" s="2">
        <f>Macro!M5*(2*Macro!T5+Macro!U5+Macro!V5+Macro!W5)*CEILING(F5/G5,1)/POWER(1000,3)</f>
        <v>10763.574700032001</v>
      </c>
      <c r="O5" s="2">
        <f>(Formula!V5+Formula!W5)*8*K5/(POWER(1000,3))</f>
        <v>320.395396608</v>
      </c>
      <c r="P5" s="2">
        <f>(Macro!M5*Macro!R5+Macro!N5*Macro!S5)*8*K5/(POWER(1000,3))</f>
        <v>23944.781758464</v>
      </c>
      <c r="Q5" s="9">
        <f>N5/(GPUs!$D$2*Macro!X5)</f>
        <v>2.0907003405405407</v>
      </c>
      <c r="R5" s="9">
        <f>O5/GPUs!$F$2</f>
        <v>0.59332480853333336</v>
      </c>
      <c r="S5" s="9">
        <f>P5/GPUs!$H$2</f>
        <v>2.3590917988634481</v>
      </c>
      <c r="T5" s="9">
        <f t="shared" si="1"/>
        <v>3.1454557318179308</v>
      </c>
      <c r="U5" s="2">
        <f t="shared" si="2"/>
        <v>2816.2437507522204</v>
      </c>
    </row>
    <row r="6" spans="1:21" x14ac:dyDescent="0.3">
      <c r="A6" s="1" t="str">
        <f>Macro!A6</f>
        <v>box2d1r</v>
      </c>
      <c r="B6" s="1">
        <f>Macro!B6</f>
        <v>2</v>
      </c>
      <c r="C6" s="1">
        <f>Macro!C6</f>
        <v>1</v>
      </c>
      <c r="D6" s="1">
        <f>Macro!D6</f>
        <v>17</v>
      </c>
      <c r="E6" s="1">
        <f>Macro!E6</f>
        <v>16384</v>
      </c>
      <c r="F6" s="1">
        <f>Macro!F6</f>
        <v>1000</v>
      </c>
      <c r="G6" s="1">
        <f>Macro!G6</f>
        <v>16</v>
      </c>
      <c r="H6" s="1">
        <f>Macro!H6</f>
        <v>512</v>
      </c>
      <c r="J6" s="1">
        <f>Macro!J6</f>
        <v>1024</v>
      </c>
      <c r="K6" s="7">
        <f t="shared" si="0"/>
        <v>63</v>
      </c>
      <c r="L6" s="2">
        <f>CEILING(E6/Formula!K6,1)*CEILING(E6/J6,1)</f>
        <v>560</v>
      </c>
      <c r="M6" s="5">
        <f>FLOOR(L6/((2048/H6)*GPUs!$B$2),1)/(CEILING(L6/((2048/H6)*GPUs!$B$2),1))</f>
        <v>0.66666666666666663</v>
      </c>
      <c r="N6" s="2">
        <f>Macro!M6*(2*Macro!T6+Macro!U6+Macro!V6+Macro!W6)*CEILING(F6/G6,1)/POWER(1000,3)</f>
        <v>4792.4598032639997</v>
      </c>
      <c r="O6" s="2">
        <f>(Formula!V6+Formula!W6)*8*K6/(POWER(1000,3))</f>
        <v>283.82857775999997</v>
      </c>
      <c r="P6" s="2">
        <f>(Macro!M6*Macro!R6+Macro!N6*Macro!S6)*8*K6/(POWER(1000,3))</f>
        <v>6910.9541867520002</v>
      </c>
      <c r="Q6" s="9">
        <f>N6/(GPUs!$D$2*Macro!X6)</f>
        <v>1.1692369246621623</v>
      </c>
      <c r="R6" s="9">
        <f>O6/GPUs!$F$2</f>
        <v>0.52560847733333327</v>
      </c>
      <c r="S6" s="9">
        <f>P6/GPUs!$H$2</f>
        <v>0.68088218588689653</v>
      </c>
      <c r="T6" s="9">
        <f t="shared" si="1"/>
        <v>1.7538553869932436</v>
      </c>
      <c r="U6" s="2">
        <f t="shared" si="2"/>
        <v>2601.9264677365213</v>
      </c>
    </row>
    <row r="7" spans="1:21" x14ac:dyDescent="0.3">
      <c r="A7" s="1" t="str">
        <f>Macro!A7</f>
        <v>box2d2r</v>
      </c>
      <c r="B7" s="1">
        <f>Macro!B7</f>
        <v>2</v>
      </c>
      <c r="C7" s="1">
        <f>Macro!C7</f>
        <v>2</v>
      </c>
      <c r="D7" s="1">
        <f>Macro!D7</f>
        <v>49</v>
      </c>
      <c r="E7" s="1">
        <f>Macro!E7</f>
        <v>16384</v>
      </c>
      <c r="F7" s="1">
        <f>Macro!F7</f>
        <v>1000</v>
      </c>
      <c r="G7" s="1">
        <f>Macro!G7</f>
        <v>16</v>
      </c>
      <c r="H7" s="1">
        <f>Macro!H7</f>
        <v>512</v>
      </c>
      <c r="J7" s="1">
        <f>Macro!J7</f>
        <v>1024</v>
      </c>
      <c r="K7" s="7">
        <f t="shared" si="0"/>
        <v>63</v>
      </c>
      <c r="L7" s="2">
        <f>CEILING(E7/Formula!K7,1)*CEILING(E7/J7,1)</f>
        <v>592</v>
      </c>
      <c r="M7" s="5">
        <f>FLOOR(L7/((2048/H7)*GPUs!$B$2),1)/(CEILING(L7/((2048/H7)*GPUs!$B$2),1))</f>
        <v>0.66666666666666663</v>
      </c>
      <c r="N7" s="2">
        <f>Macro!M7*(2*Macro!T7+Macro!U7+Macro!V7+Macro!W7)*CEILING(F7/G7,1)/POWER(1000,3)</f>
        <v>14338.954377216</v>
      </c>
      <c r="O7" s="2">
        <f>(Formula!V7+Formula!W7)*8*K7/(POWER(1000,3))</f>
        <v>294.20098444799999</v>
      </c>
      <c r="P7" s="2">
        <f>(Macro!M7*Macro!R7+Macro!N7*Macro!S7)*8*K7/(POWER(1000,3))</f>
        <v>11936.462340096001</v>
      </c>
      <c r="Q7" s="9">
        <f>N7/(GPUs!$D$2*Macro!X7)</f>
        <v>3.1997767621621618</v>
      </c>
      <c r="R7" s="9">
        <f>O7/GPUs!$F$2</f>
        <v>0.54481663786666668</v>
      </c>
      <c r="S7" s="9">
        <f>P7/GPUs!$H$2</f>
        <v>1.1760061418813794</v>
      </c>
      <c r="T7" s="9">
        <f t="shared" si="1"/>
        <v>4.7996651432432431</v>
      </c>
      <c r="U7" s="2">
        <f t="shared" si="2"/>
        <v>2740.4697935056338</v>
      </c>
    </row>
    <row r="8" spans="1:21" x14ac:dyDescent="0.3">
      <c r="A8" s="1" t="str">
        <f>Macro!A8</f>
        <v>box2d3r</v>
      </c>
      <c r="B8" s="1">
        <f>Macro!B8</f>
        <v>2</v>
      </c>
      <c r="C8" s="1">
        <f>Macro!C8</f>
        <v>3</v>
      </c>
      <c r="D8" s="1">
        <f>Macro!D8</f>
        <v>97</v>
      </c>
      <c r="E8" s="1">
        <f>Macro!E8</f>
        <v>16384</v>
      </c>
      <c r="F8" s="1">
        <f>Macro!F8</f>
        <v>1000</v>
      </c>
      <c r="G8" s="1">
        <f>Macro!G8</f>
        <v>16</v>
      </c>
      <c r="H8" s="1">
        <f>Macro!H8</f>
        <v>512</v>
      </c>
      <c r="J8" s="1">
        <f>Macro!J8</f>
        <v>1024</v>
      </c>
      <c r="K8" s="7">
        <f t="shared" si="0"/>
        <v>63</v>
      </c>
      <c r="L8" s="2">
        <f>CEILING(E8/Formula!K8,1)*CEILING(E8/J8,1)</f>
        <v>640</v>
      </c>
      <c r="M8" s="5">
        <f>FLOOR(L8/((2048/H8)*GPUs!$B$2),1)/(CEILING(L8/((2048/H8)*GPUs!$B$2),1))</f>
        <v>0.66666666666666663</v>
      </c>
      <c r="N8" s="2">
        <f>Macro!M8*(2*Macro!T8+Macro!U8+Macro!V8+Macro!W8)*CEILING(F8/G8,1)/POWER(1000,3)</f>
        <v>30058.597114560002</v>
      </c>
      <c r="O8" s="2">
        <f>(Formula!V8+Formula!W8)*8*K8/(POWER(1000,3))</f>
        <v>306.48040214399998</v>
      </c>
      <c r="P8" s="2">
        <f>(Macro!M8*Macro!R8+Macro!N8*Macro!S8)*8*K8/(POWER(1000,3))</f>
        <v>17692.654371839999</v>
      </c>
      <c r="Q8" s="9">
        <f>N8/(GPUs!$D$2*Macro!X8)</f>
        <v>6.4262844045608114</v>
      </c>
      <c r="R8" s="9">
        <f>O8/GPUs!$F$2</f>
        <v>0.56755630026666659</v>
      </c>
      <c r="S8" s="9">
        <f>P8/GPUs!$H$2</f>
        <v>1.7431186573241377</v>
      </c>
      <c r="T8" s="9">
        <f t="shared" si="1"/>
        <v>9.6394266068412175</v>
      </c>
      <c r="U8" s="2">
        <f t="shared" si="2"/>
        <v>2701.222831399572</v>
      </c>
    </row>
    <row r="9" spans="1:21" x14ac:dyDescent="0.3">
      <c r="A9" s="1" t="str">
        <f>Macro!A9</f>
        <v>box2d4r</v>
      </c>
      <c r="B9" s="1">
        <f>Macro!B9</f>
        <v>2</v>
      </c>
      <c r="C9" s="1">
        <f>Macro!C9</f>
        <v>4</v>
      </c>
      <c r="D9" s="1">
        <f>Macro!D9</f>
        <v>161</v>
      </c>
      <c r="E9" s="1">
        <f>Macro!E9</f>
        <v>16384</v>
      </c>
      <c r="F9" s="1">
        <f>Macro!F9</f>
        <v>1000</v>
      </c>
      <c r="G9" s="1">
        <f>Macro!G9</f>
        <v>16</v>
      </c>
      <c r="H9" s="1">
        <f>Macro!H9</f>
        <v>512</v>
      </c>
      <c r="J9" s="1">
        <f>Macro!J9</f>
        <v>1024</v>
      </c>
      <c r="K9" s="7">
        <f t="shared" si="0"/>
        <v>63</v>
      </c>
      <c r="L9" s="2">
        <f>CEILING(E9/Formula!K9,1)*CEILING(E9/J9,1)</f>
        <v>688</v>
      </c>
      <c r="M9" s="5">
        <f>FLOOR(L9/((2048/H9)*GPUs!$B$2),1)/(CEILING(L9/((2048/H9)*GPUs!$B$2),1))</f>
        <v>0.75</v>
      </c>
      <c r="N9" s="2">
        <f>Macro!M9*(2*Macro!T9+Macro!U9+Macro!V9+Macro!W9)*CEILING(F9/G9,1)/POWER(1000,3)</f>
        <v>52513.197778943999</v>
      </c>
      <c r="O9" s="2">
        <f>(Formula!V9+Formula!W9)*8*K9/(POWER(1000,3))</f>
        <v>320.395396608</v>
      </c>
      <c r="P9" s="2">
        <f>(Macro!M9*Macro!R9+Macro!N9*Macro!S9)*8*K9/(POWER(1000,3))</f>
        <v>23944.781758464</v>
      </c>
      <c r="Q9" s="9">
        <f>N9/(GPUs!$D$2*Macro!X9)</f>
        <v>10.945431194594596</v>
      </c>
      <c r="R9" s="9">
        <f>O9/GPUs!$F$2</f>
        <v>0.59332480853333336</v>
      </c>
      <c r="S9" s="9">
        <f>P9/GPUs!$H$2</f>
        <v>2.3590917988634481</v>
      </c>
      <c r="T9" s="9">
        <f t="shared" si="1"/>
        <v>14.593908259459461</v>
      </c>
      <c r="U9" s="2">
        <f t="shared" si="2"/>
        <v>2961.3800256683771</v>
      </c>
    </row>
    <row r="10" spans="1:21" x14ac:dyDescent="0.3">
      <c r="A10" s="1" t="str">
        <f>Formula!A10</f>
        <v>gradient2d</v>
      </c>
      <c r="B10" s="1">
        <f>Formula!B10</f>
        <v>2</v>
      </c>
      <c r="C10" s="1">
        <f>Formula!C10</f>
        <v>1</v>
      </c>
      <c r="D10" s="1">
        <f>Formula!D10</f>
        <v>19</v>
      </c>
      <c r="E10" s="1">
        <f>Formula!E10</f>
        <v>16384</v>
      </c>
      <c r="F10" s="1">
        <f>Formula!F10</f>
        <v>1000</v>
      </c>
      <c r="G10" s="1">
        <f>Formula!G10</f>
        <v>16</v>
      </c>
      <c r="H10" s="1">
        <f>Formula!H10</f>
        <v>512</v>
      </c>
      <c r="J10" s="1">
        <f>Formula!J10</f>
        <v>1024</v>
      </c>
      <c r="K10" s="7">
        <f t="shared" si="0"/>
        <v>63</v>
      </c>
      <c r="L10" s="2">
        <f>CEILING(E10/Formula!K10,1)*CEILING(E10/J10,1)</f>
        <v>560</v>
      </c>
      <c r="M10" s="5">
        <f>FLOOR(L10/((2048/H10)*GPUs!$B$2),1)/(CEILING(L10/((2048/H10)*GPUs!$B$2),1))</f>
        <v>0.66666666666666663</v>
      </c>
      <c r="N10" s="2">
        <f>Macro!M10*(2*Macro!T10+Macro!U10+Macro!V10+Macro!W10)*CEILING(F10/G10,1)/POWER(1000,3)</f>
        <v>4228.6410028800001</v>
      </c>
      <c r="O10" s="2">
        <f>(Formula!V10+Formula!W10)*8*K10/(POWER(1000,3))</f>
        <v>283.82857775999997</v>
      </c>
      <c r="P10" s="2">
        <f>(Macro!M10*Macro!R10+Macro!N10*Macro!S10)*8*K10/(POWER(1000,3))</f>
        <v>6910.9541867520002</v>
      </c>
      <c r="Q10" s="9">
        <f>N10/(GPUs!$D$2*Macro!X10)</f>
        <v>1.1692369246621623</v>
      </c>
      <c r="R10" s="9">
        <f>O10/GPUs!$F$2</f>
        <v>0.52560847733333327</v>
      </c>
      <c r="S10" s="9">
        <f>P10/GPUs!$H$2</f>
        <v>0.68088218588689653</v>
      </c>
      <c r="T10" s="9">
        <f t="shared" si="1"/>
        <v>1.7538553869932436</v>
      </c>
      <c r="U10" s="2">
        <f t="shared" si="2"/>
        <v>2908.0354639408179</v>
      </c>
    </row>
    <row r="11" spans="1:21" x14ac:dyDescent="0.3">
      <c r="A11" s="1" t="str">
        <f>Formula!A11</f>
        <v>j2d5pt</v>
      </c>
      <c r="B11" s="1">
        <f>Formula!B11</f>
        <v>2</v>
      </c>
      <c r="C11" s="1">
        <f>Formula!C11</f>
        <v>1</v>
      </c>
      <c r="D11" s="1">
        <f>Formula!D11</f>
        <v>10</v>
      </c>
      <c r="E11" s="1">
        <f>Formula!E11</f>
        <v>16384</v>
      </c>
      <c r="F11" s="1">
        <f>Formula!F11</f>
        <v>1000</v>
      </c>
      <c r="G11" s="1">
        <f>Formula!G11</f>
        <v>16</v>
      </c>
      <c r="H11" s="1">
        <f>Formula!H11</f>
        <v>512</v>
      </c>
      <c r="J11" s="1">
        <f>Formula!J11</f>
        <v>1024</v>
      </c>
      <c r="K11" s="7">
        <f t="shared" si="0"/>
        <v>63</v>
      </c>
      <c r="L11" s="2">
        <f>CEILING(E11/Formula!K11,1)*CEILING(E11/J11,1)</f>
        <v>560</v>
      </c>
      <c r="M11" s="5">
        <f>FLOOR(L11/((2048/H11)*GPUs!$B$2),1)/(CEILING(L11/((2048/H11)*GPUs!$B$2),1))</f>
        <v>0.66666666666666663</v>
      </c>
      <c r="N11" s="2">
        <f>Macro!M11*(2*Macro!T11+Macro!U11+Macro!V11+Macro!W11)*CEILING(F11/G11,1)/POWER(1000,3)</f>
        <v>2819.0940019200002</v>
      </c>
      <c r="O11" s="2">
        <f>(Formula!V11+Formula!W11)*8*K11/(POWER(1000,3))</f>
        <v>283.82857775999997</v>
      </c>
      <c r="P11" s="2">
        <f>(Macro!M11*Macro!R11+Macro!N11*Macro!S11)*8*K11/(POWER(1000,3))</f>
        <v>6910.9541867520002</v>
      </c>
      <c r="Q11" s="9">
        <f>N11/(GPUs!$D$2*Macro!X11)</f>
        <v>0.63776559527027032</v>
      </c>
      <c r="R11" s="9">
        <f>O11/GPUs!$F$2</f>
        <v>0.52560847733333327</v>
      </c>
      <c r="S11" s="9">
        <f>P11/GPUs!$H$2</f>
        <v>0.68088218588689653</v>
      </c>
      <c r="T11" s="9">
        <f t="shared" si="1"/>
        <v>1.0213232788303448</v>
      </c>
      <c r="U11" s="2">
        <f t="shared" si="2"/>
        <v>2628.3103652295254</v>
      </c>
    </row>
    <row r="12" spans="1:21" x14ac:dyDescent="0.3">
      <c r="A12" s="1" t="str">
        <f>Formula!A12</f>
        <v>j2d9pt-gol</v>
      </c>
      <c r="B12" s="1">
        <f>Formula!B12</f>
        <v>2</v>
      </c>
      <c r="C12" s="1">
        <f>Formula!C12</f>
        <v>1</v>
      </c>
      <c r="D12" s="1">
        <f>Formula!D12</f>
        <v>18</v>
      </c>
      <c r="E12" s="1">
        <f>Formula!E12</f>
        <v>16384</v>
      </c>
      <c r="F12" s="1">
        <f>Formula!F12</f>
        <v>1000</v>
      </c>
      <c r="G12" s="1">
        <f>Formula!G12</f>
        <v>16</v>
      </c>
      <c r="H12" s="1">
        <f>Formula!H12</f>
        <v>512</v>
      </c>
      <c r="J12" s="1">
        <f>Formula!J12</f>
        <v>1024</v>
      </c>
      <c r="K12" s="7">
        <f t="shared" si="0"/>
        <v>63</v>
      </c>
      <c r="L12" s="2">
        <f>CEILING(E12/Formula!K12,1)*CEILING(E12/J12,1)</f>
        <v>560</v>
      </c>
      <c r="M12" s="5">
        <f>FLOOR(L12/((2048/H12)*GPUs!$B$2),1)/(CEILING(L12/((2048/H12)*GPUs!$B$2),1))</f>
        <v>0.66666666666666663</v>
      </c>
      <c r="N12" s="2">
        <f>Macro!M12*(2*Macro!T12+Macro!U12+Macro!V12+Macro!W12)*CEILING(F12/G12,1)/POWER(1000,3)</f>
        <v>5638.1880038400004</v>
      </c>
      <c r="O12" s="2">
        <f>(Formula!V12+Formula!W12)*8*K12/(POWER(1000,3))</f>
        <v>283.82857775999997</v>
      </c>
      <c r="P12" s="2">
        <f>(Macro!M12*Macro!R12+Macro!N12*Macro!S12)*8*K12/(POWER(1000,3))</f>
        <v>6910.9541867520002</v>
      </c>
      <c r="Q12" s="9">
        <f>N12/(GPUs!$D$2*Macro!X12)</f>
        <v>1.2755311905405406</v>
      </c>
      <c r="R12" s="9">
        <f>O12/GPUs!$F$2</f>
        <v>0.52560847733333327</v>
      </c>
      <c r="S12" s="9">
        <f>P12/GPUs!$H$2</f>
        <v>0.68088218588689653</v>
      </c>
      <c r="T12" s="9">
        <f t="shared" si="1"/>
        <v>1.913296785810811</v>
      </c>
      <c r="U12" s="2">
        <f t="shared" si="2"/>
        <v>2525.3992186854475</v>
      </c>
    </row>
    <row r="13" spans="1:21" x14ac:dyDescent="0.3">
      <c r="A13" s="1" t="str">
        <f>Formula!A13</f>
        <v>j2d9pt</v>
      </c>
      <c r="B13" s="1">
        <f>Formula!B13</f>
        <v>2</v>
      </c>
      <c r="C13" s="1">
        <f>Formula!C13</f>
        <v>2</v>
      </c>
      <c r="D13" s="1">
        <f>Formula!D13</f>
        <v>18</v>
      </c>
      <c r="E13" s="1">
        <f>Formula!E13</f>
        <v>16384</v>
      </c>
      <c r="F13" s="1">
        <f>Formula!F13</f>
        <v>1000</v>
      </c>
      <c r="G13" s="1">
        <f>Formula!G13</f>
        <v>16</v>
      </c>
      <c r="H13" s="1">
        <f>Formula!H13</f>
        <v>512</v>
      </c>
      <c r="J13" s="1">
        <f>Formula!J13</f>
        <v>1024</v>
      </c>
      <c r="K13" s="7">
        <f t="shared" si="0"/>
        <v>63</v>
      </c>
      <c r="L13" s="2">
        <f>CEILING(E13/Formula!K13,1)*CEILING(E13/J13,1)</f>
        <v>592</v>
      </c>
      <c r="M13" s="5">
        <f>FLOOR(L13/((2048/H13)*GPUs!$B$2),1)/(CEILING(L13/((2048/H13)*GPUs!$B$2),1))</f>
        <v>0.66666666666666663</v>
      </c>
      <c r="N13" s="2">
        <f>Macro!M13*(2*Macro!T13+Macro!U13+Macro!V13+Macro!W13)*CEILING(F13/G13,1)/POWER(1000,3)</f>
        <v>6437.8978836480001</v>
      </c>
      <c r="O13" s="2">
        <f>(Formula!V13+Formula!W13)*8*K13/(POWER(1000,3))</f>
        <v>294.20098444799999</v>
      </c>
      <c r="P13" s="2">
        <f>(Macro!M13*Macro!R13+Macro!N13*Macro!S13)*8*K13/(POWER(1000,3))</f>
        <v>11936.462340096001</v>
      </c>
      <c r="Q13" s="9">
        <f>N13/(GPUs!$D$2*Macro!X13)</f>
        <v>1.5447198162162166</v>
      </c>
      <c r="R13" s="9">
        <f>O13/GPUs!$F$2</f>
        <v>0.54481663786666668</v>
      </c>
      <c r="S13" s="9">
        <f>P13/GPUs!$H$2</f>
        <v>1.1760061418813794</v>
      </c>
      <c r="T13" s="9">
        <f t="shared" si="1"/>
        <v>2.3170797243243251</v>
      </c>
      <c r="U13" s="2">
        <f t="shared" si="2"/>
        <v>2085.3137495771725</v>
      </c>
    </row>
    <row r="14" spans="1:21" x14ac:dyDescent="0.3">
      <c r="A14" s="1" t="str">
        <f>Macro!A14</f>
        <v>star3d1r</v>
      </c>
      <c r="B14" s="1">
        <f>Macro!B14</f>
        <v>3</v>
      </c>
      <c r="C14" s="1">
        <f>Macro!C14</f>
        <v>1</v>
      </c>
      <c r="D14" s="1">
        <f>Macro!D14</f>
        <v>13</v>
      </c>
      <c r="E14" s="1">
        <f>Macro!E14</f>
        <v>512</v>
      </c>
      <c r="F14" s="1">
        <f>Macro!F14</f>
        <v>1000</v>
      </c>
      <c r="G14" s="1">
        <f>Macro!G14</f>
        <v>7</v>
      </c>
      <c r="H14" s="1">
        <f>Macro!H14</f>
        <v>64</v>
      </c>
      <c r="I14" s="1">
        <f>Macro!I14</f>
        <v>16</v>
      </c>
      <c r="J14" s="1">
        <f>Macro!J14</f>
        <v>256</v>
      </c>
      <c r="K14" s="7">
        <f t="shared" si="0"/>
        <v>143</v>
      </c>
      <c r="L14" s="2">
        <f>CEILING(E14/Formula!K14,1)*CEILING(E14/Formula!L14,1)*CEILING(E14/J14,1)</f>
        <v>5632</v>
      </c>
      <c r="M14" s="5">
        <f>FLOOR(L14/((2048/(H14*I14))*GPUs!$B$2),1)/(CEILING(L14/((2048/(H14*I14))*GPUs!$B$2),1))</f>
        <v>0.98039215686274506</v>
      </c>
      <c r="N14" s="2">
        <f>Macro!M14*(2*Macro!T14+Macro!U14+Macro!V14+Macro!W14)*CEILING(F14/G14,1)/POWER(1000,3)</f>
        <v>8047.2362553439998</v>
      </c>
      <c r="O14" s="2">
        <f>(Formula!V14+Formula!W14)*8*K14/(POWER(1000,3))</f>
        <v>1694.3316515839999</v>
      </c>
      <c r="P14" s="2">
        <f>(Macro!M14*Macro!R14+Macro!N14*Macro!S14)*8*K14/(POWER(1000,3))</f>
        <v>31816.286701056</v>
      </c>
      <c r="Q14" s="9">
        <f>N14/(GPUs!$D$2*Macro!X14)</f>
        <v>1.6338106352618245</v>
      </c>
      <c r="R14" s="9">
        <f>O14/GPUs!$F$2</f>
        <v>3.1376512066370368</v>
      </c>
      <c r="S14" s="9">
        <f>P14/GPUs!$H$2</f>
        <v>3.1346095271976355</v>
      </c>
      <c r="T14" s="9">
        <f t="shared" si="1"/>
        <v>3.2004042307697778</v>
      </c>
      <c r="U14" s="2">
        <f>(F14*POWER(E14,3)*D14)/(T14*POWER(1000,3))</f>
        <v>545.19065036366499</v>
      </c>
    </row>
    <row r="15" spans="1:21" x14ac:dyDescent="0.3">
      <c r="A15" s="1" t="str">
        <f>Macro!A15</f>
        <v>star3d2r</v>
      </c>
      <c r="B15" s="1">
        <f>Macro!B15</f>
        <v>3</v>
      </c>
      <c r="C15" s="1">
        <f>Macro!C15</f>
        <v>2</v>
      </c>
      <c r="D15" s="1">
        <f>Macro!D15</f>
        <v>25</v>
      </c>
      <c r="E15" s="1">
        <f>Macro!E15</f>
        <v>512</v>
      </c>
      <c r="F15" s="1">
        <f>Macro!F15</f>
        <v>1000</v>
      </c>
      <c r="G15" s="1">
        <f>Macro!G15</f>
        <v>3</v>
      </c>
      <c r="H15" s="1">
        <f>Macro!H15</f>
        <v>64</v>
      </c>
      <c r="I15" s="1">
        <f>Macro!I15</f>
        <v>16</v>
      </c>
      <c r="J15" s="1">
        <f>Macro!J15</f>
        <v>256</v>
      </c>
      <c r="K15" s="7">
        <f t="shared" si="0"/>
        <v>334</v>
      </c>
      <c r="L15" s="2">
        <f>CEILING(E15/Formula!K15,1)*CEILING(E15/Formula!L15,1)*CEILING(E15/J15,1)</f>
        <v>2560</v>
      </c>
      <c r="M15" s="5">
        <f>FLOOR(L15/((2048/(H15*I15))*GPUs!$B$2),1)/(CEILING(L15/((2048/(H15*I15))*GPUs!$B$2),1))</f>
        <v>0.95652173913043481</v>
      </c>
      <c r="N15" s="2">
        <f>Macro!M15*(2*Macro!T15+Macro!U15+Macro!V15+Macro!W15)*CEILING(F15/G15,1)/POWER(1000,3)</f>
        <v>6988.9264863999997</v>
      </c>
      <c r="O15" s="2">
        <f>(Formula!V15+Formula!W15)*8*K15/(POWER(1000,3))</f>
        <v>1766.089566208</v>
      </c>
      <c r="P15" s="2">
        <f>(Macro!M15*Macro!R15+Macro!N15*Macro!S15)*8*K15/(POWER(1000,3))</f>
        <v>23355.152195584</v>
      </c>
      <c r="Q15" s="9">
        <f>N15/(GPUs!$D$2*Macro!X15)</f>
        <v>1.3702950700289576</v>
      </c>
      <c r="R15" s="9">
        <f>O15/GPUs!$F$2</f>
        <v>3.2705362337185186</v>
      </c>
      <c r="S15" s="9">
        <f>P15/GPUs!$H$2</f>
        <v>2.3010002163136947</v>
      </c>
      <c r="T15" s="9">
        <f t="shared" si="1"/>
        <v>3.4191969716148147</v>
      </c>
      <c r="U15" s="2">
        <f t="shared" ref="U15:U22" si="3">(F15*POWER(E15,3)*D15)/(T15*POWER(1000,3))</f>
        <v>981.35416820262765</v>
      </c>
    </row>
    <row r="16" spans="1:21" x14ac:dyDescent="0.3">
      <c r="A16" s="1" t="str">
        <f>Macro!A16</f>
        <v>star3d3r</v>
      </c>
      <c r="B16" s="1">
        <f>Macro!B16</f>
        <v>3</v>
      </c>
      <c r="C16" s="1">
        <f>Macro!C16</f>
        <v>3</v>
      </c>
      <c r="D16" s="1">
        <f>Macro!D16</f>
        <v>37</v>
      </c>
      <c r="E16" s="1">
        <f>Macro!E16</f>
        <v>512</v>
      </c>
      <c r="F16" s="1">
        <f>Macro!F16</f>
        <v>1000</v>
      </c>
      <c r="G16" s="1">
        <f>Macro!G16</f>
        <v>2</v>
      </c>
      <c r="H16" s="1">
        <f>Macro!H16</f>
        <v>64</v>
      </c>
      <c r="I16" s="1">
        <f>Macro!I16</f>
        <v>16</v>
      </c>
      <c r="J16" s="1">
        <f>Macro!J16</f>
        <v>256</v>
      </c>
      <c r="K16" s="7">
        <f t="shared" si="0"/>
        <v>500</v>
      </c>
      <c r="L16" s="2">
        <f>CEILING(E16/Formula!K16,1)*CEILING(E16/Formula!L16,1)*CEILING(E16/J16,1)</f>
        <v>2560</v>
      </c>
      <c r="M16" s="5">
        <f>FLOOR(L16/((2048/(H16*I16))*GPUs!$B$2),1)/(CEILING(L16/((2048/(H16*I16))*GPUs!$B$2),1))</f>
        <v>0.95652173913043481</v>
      </c>
      <c r="N16" s="2">
        <f>Macro!M16*(2*Macro!T16+Macro!U16+Macro!V16+Macro!W16)*CEILING(F16/G16,1)/POWER(1000,3)</f>
        <v>8938.6663119999994</v>
      </c>
      <c r="O16" s="2">
        <f>(Formula!V16+Formula!W16)*8*K16/(POWER(1000,3))</f>
        <v>2351.434784</v>
      </c>
      <c r="P16" s="2">
        <f>(Macro!M16*Macro!R16+Macro!N16*Macro!S16)*8*K16/(POWER(1000,3))</f>
        <v>28655.296256000001</v>
      </c>
      <c r="Q16" s="9">
        <f>N16/(GPUs!$D$2*Macro!X16)</f>
        <v>1.7307123039333978</v>
      </c>
      <c r="R16" s="9">
        <f>O16/GPUs!$F$2</f>
        <v>4.3545088592592593</v>
      </c>
      <c r="S16" s="9">
        <f>P16/GPUs!$H$2</f>
        <v>2.8231818971428573</v>
      </c>
      <c r="T16" s="9">
        <f t="shared" si="1"/>
        <v>4.5524410801346802</v>
      </c>
      <c r="U16" s="2">
        <f t="shared" si="3"/>
        <v>1090.8556197838993</v>
      </c>
    </row>
    <row r="17" spans="1:21" x14ac:dyDescent="0.3">
      <c r="A17" s="1" t="str">
        <f>Macro!A17</f>
        <v>star3d4r</v>
      </c>
      <c r="B17" s="1">
        <f>Macro!B17</f>
        <v>3</v>
      </c>
      <c r="C17" s="1">
        <f>Macro!C17</f>
        <v>4</v>
      </c>
      <c r="D17" s="1">
        <f>Macro!D17</f>
        <v>49</v>
      </c>
      <c r="E17" s="1">
        <f>Macro!E17</f>
        <v>512</v>
      </c>
      <c r="F17" s="1">
        <f>Macro!F17</f>
        <v>1000</v>
      </c>
      <c r="G17" s="1">
        <f>Macro!G17</f>
        <v>1</v>
      </c>
      <c r="H17" s="1">
        <f>Macro!H17</f>
        <v>64</v>
      </c>
      <c r="I17" s="1">
        <f>Macro!I17</f>
        <v>16</v>
      </c>
      <c r="J17" s="1">
        <f>Macro!J17</f>
        <v>256</v>
      </c>
      <c r="K17" s="7">
        <f t="shared" si="0"/>
        <v>1000</v>
      </c>
      <c r="L17" s="2">
        <f>CEILING(E17/Formula!K17,1)*CEILING(E17/Formula!L17,1)*CEILING(E17/J17,1)</f>
        <v>1280</v>
      </c>
      <c r="M17" s="5">
        <f>FLOOR(L17/((2048/(H17*I17))*GPUs!$B$2),1)/(CEILING(L17/((2048/(H17*I17))*GPUs!$B$2),1))</f>
        <v>0.91666666666666663</v>
      </c>
      <c r="N17" s="2">
        <f>Macro!M17*(2*Macro!T17+Macro!U17+Macro!V17+Macro!W17)*CEILING(F17/G17,1)/POWER(1000,3)</f>
        <v>6679.4291199999998</v>
      </c>
      <c r="O17" s="2">
        <f>(Formula!V17+Formula!W17)*8*K17/(POWER(1000,3))</f>
        <v>2373.7139200000001</v>
      </c>
      <c r="P17" s="2">
        <f>(Macro!M17*Macro!R17+Macro!N17*Macro!S17)*8*K17/(POWER(1000,3))</f>
        <v>20174.60224</v>
      </c>
      <c r="Q17" s="9">
        <f>N17/(GPUs!$D$2*Macro!X17)</f>
        <v>1.2849420849420849</v>
      </c>
      <c r="R17" s="9">
        <f>O17/GPUs!$F$2</f>
        <v>4.3957665185185189</v>
      </c>
      <c r="S17" s="9">
        <f>P17/GPUs!$H$2</f>
        <v>1.9876455408866995</v>
      </c>
      <c r="T17" s="9">
        <f t="shared" si="1"/>
        <v>4.7953816565656568</v>
      </c>
      <c r="U17" s="2">
        <f t="shared" si="3"/>
        <v>1371.4588625069023</v>
      </c>
    </row>
    <row r="18" spans="1:21" x14ac:dyDescent="0.3">
      <c r="A18" s="1" t="str">
        <f>Macro!A18</f>
        <v>box3d1r</v>
      </c>
      <c r="B18" s="1">
        <f>Macro!B18</f>
        <v>3</v>
      </c>
      <c r="C18" s="1">
        <f>Macro!C18</f>
        <v>1</v>
      </c>
      <c r="D18" s="1">
        <f>Macro!D18</f>
        <v>53</v>
      </c>
      <c r="E18" s="1">
        <f>Macro!E18</f>
        <v>512</v>
      </c>
      <c r="F18" s="1">
        <f>Macro!F18</f>
        <v>1000</v>
      </c>
      <c r="G18" s="1">
        <f>Macro!G18</f>
        <v>7</v>
      </c>
      <c r="H18" s="1">
        <f>Macro!H18</f>
        <v>64</v>
      </c>
      <c r="I18" s="1">
        <f>Macro!I18</f>
        <v>16</v>
      </c>
      <c r="J18" s="1">
        <f>Macro!J18</f>
        <v>256</v>
      </c>
      <c r="K18" s="7">
        <f t="shared" si="0"/>
        <v>143</v>
      </c>
      <c r="L18" s="2">
        <f>CEILING(E18/Formula!K18,1)*CEILING(E18/Formula!L18,1)*CEILING(E18/J18,1)</f>
        <v>5632</v>
      </c>
      <c r="M18" s="5">
        <f>FLOOR(L18/((2048/(H18*I18))*GPUs!$B$2),1)/(CEILING(L18/((2048/(H18*I18))*GPUs!$B$2),1))</f>
        <v>0.98039215686274506</v>
      </c>
      <c r="N18" s="2">
        <f>Macro!M18*(2*Macro!T18+Macro!U18+Macro!V18+Macro!W18)*CEILING(F18/G18,1)/POWER(1000,3)</f>
        <v>32807.963194864002</v>
      </c>
      <c r="O18" s="2">
        <f>(Formula!V18+Formula!W18)*8*K18/(POWER(1000,3))</f>
        <v>1694.3316515839999</v>
      </c>
      <c r="P18" s="2">
        <f>(Macro!M18*Macro!R18+Macro!N18*Macro!S18)*8*K18/(POWER(1000,3))</f>
        <v>51624.868252672</v>
      </c>
      <c r="Q18" s="9">
        <f>N18/(GPUs!$D$2*Macro!X18)</f>
        <v>6.7686440603704146</v>
      </c>
      <c r="R18" s="9">
        <f>O18/GPUs!$F$2</f>
        <v>3.1376512066370368</v>
      </c>
      <c r="S18" s="9">
        <f>P18/GPUs!$H$2</f>
        <v>5.0861939165194086</v>
      </c>
      <c r="T18" s="9">
        <f t="shared" si="1"/>
        <v>6.9040169415778232</v>
      </c>
      <c r="U18" s="2">
        <f t="shared" si="3"/>
        <v>1030.3479328331853</v>
      </c>
    </row>
    <row r="19" spans="1:21" x14ac:dyDescent="0.3">
      <c r="A19" s="1" t="str">
        <f>Macro!A19</f>
        <v>box3d2r</v>
      </c>
      <c r="B19" s="1">
        <f>Macro!B19</f>
        <v>3</v>
      </c>
      <c r="C19" s="1">
        <f>Macro!C19</f>
        <v>2</v>
      </c>
      <c r="D19" s="1">
        <f>Macro!D19</f>
        <v>249</v>
      </c>
      <c r="E19" s="1">
        <f>Macro!E19</f>
        <v>512</v>
      </c>
      <c r="F19" s="1">
        <f>Macro!F19</f>
        <v>1000</v>
      </c>
      <c r="G19" s="1">
        <f>Macro!G19</f>
        <v>3</v>
      </c>
      <c r="H19" s="1">
        <f>Macro!H19</f>
        <v>64</v>
      </c>
      <c r="I19" s="1">
        <f>Macro!I19</f>
        <v>16</v>
      </c>
      <c r="J19" s="1">
        <f>Macro!J19</f>
        <v>256</v>
      </c>
      <c r="K19" s="7">
        <f t="shared" si="0"/>
        <v>334</v>
      </c>
      <c r="L19" s="2">
        <f>CEILING(E19/Formula!K19,1)*CEILING(E19/Formula!L19,1)*CEILING(E19/J19,1)</f>
        <v>2560</v>
      </c>
      <c r="M19" s="5">
        <f>FLOOR(L19/((2048/(H19*I19))*GPUs!$B$2),1)/(CEILING(L19/((2048/(H19*I19))*GPUs!$B$2),1))</f>
        <v>0.95652173913043481</v>
      </c>
      <c r="N19" s="2">
        <f>Macro!M19*(2*Macro!T19+Macro!U19+Macro!V19+Macro!W19)*CEILING(F19/G19,1)/POWER(1000,3)</f>
        <v>69609.707804543999</v>
      </c>
      <c r="O19" s="2">
        <f>(Formula!V19+Formula!W19)*8*K19/(POWER(1000,3))</f>
        <v>1766.089566208</v>
      </c>
      <c r="P19" s="2">
        <f>(Macro!M19*Macro!R19+Macro!N19*Macro!S19)*8*K19/(POWER(1000,3))</f>
        <v>59138.455805951999</v>
      </c>
      <c r="Q19" s="9">
        <f>N19/(GPUs!$D$2*Macro!X19)</f>
        <v>13.597543387210424</v>
      </c>
      <c r="R19" s="9">
        <f>O19/GPUs!$F$2</f>
        <v>3.2705362337185186</v>
      </c>
      <c r="S19" s="9">
        <f>P19/GPUs!$H$2</f>
        <v>5.8264488478770442</v>
      </c>
      <c r="T19" s="9">
        <f t="shared" si="1"/>
        <v>14.215613541174534</v>
      </c>
      <c r="U19" s="2">
        <f t="shared" si="3"/>
        <v>2350.9512392975989</v>
      </c>
    </row>
    <row r="20" spans="1:21" x14ac:dyDescent="0.3">
      <c r="A20" s="1" t="str">
        <f>Macro!A20</f>
        <v>box3d3r</v>
      </c>
      <c r="B20" s="1">
        <f>Macro!B20</f>
        <v>3</v>
      </c>
      <c r="C20" s="1">
        <f>Macro!C20</f>
        <v>3</v>
      </c>
      <c r="D20" s="1">
        <f>Macro!D20</f>
        <v>685</v>
      </c>
      <c r="E20" s="1">
        <f>Macro!E20</f>
        <v>512</v>
      </c>
      <c r="F20" s="1">
        <f>Macro!F20</f>
        <v>1000</v>
      </c>
      <c r="G20" s="1">
        <f>Macro!G20</f>
        <v>2</v>
      </c>
      <c r="H20" s="1">
        <f>Macro!H20</f>
        <v>64</v>
      </c>
      <c r="I20" s="1">
        <f>Macro!I20</f>
        <v>16</v>
      </c>
      <c r="J20" s="1">
        <f>Macro!J20</f>
        <v>256</v>
      </c>
      <c r="K20" s="7">
        <f t="shared" si="0"/>
        <v>500</v>
      </c>
      <c r="L20" s="2">
        <f>CEILING(E20/Formula!K20,1)*CEILING(E20/Formula!L20,1)*CEILING(E20/J20,1)</f>
        <v>2560</v>
      </c>
      <c r="M20" s="5">
        <f>FLOOR(L20/((2048/(H20*I20))*GPUs!$B$2),1)/(CEILING(L20/((2048/(H20*I20))*GPUs!$B$2),1))</f>
        <v>0.95652173913043481</v>
      </c>
      <c r="N20" s="2">
        <f>Macro!M20*(2*Macro!T20+Macro!U20+Macro!V20+Macro!W20)*CEILING(F20/G20,1)/POWER(1000,3)</f>
        <v>165486.11955999999</v>
      </c>
      <c r="O20" s="2">
        <f>(Formula!V20+Formula!W20)*8*K20/(POWER(1000,3))</f>
        <v>2351.434784</v>
      </c>
      <c r="P20" s="2">
        <f>(Macro!M20*Macro!R20+Macro!N20*Macro!S20)*8*K20/(POWER(1000,3))</f>
        <v>98231.942144000001</v>
      </c>
      <c r="Q20" s="9">
        <f>N20/(GPUs!$D$2*Macro!X20)</f>
        <v>31.790452319618726</v>
      </c>
      <c r="R20" s="9">
        <f>O20/GPUs!$F$2</f>
        <v>4.3545088592592593</v>
      </c>
      <c r="S20" s="9">
        <f>P20/GPUs!$H$2</f>
        <v>9.6780238565517234</v>
      </c>
      <c r="T20" s="9">
        <f t="shared" si="1"/>
        <v>33.235472879601396</v>
      </c>
      <c r="U20" s="2">
        <f t="shared" si="3"/>
        <v>2766.2956387910631</v>
      </c>
    </row>
    <row r="21" spans="1:21" x14ac:dyDescent="0.3">
      <c r="A21" s="1" t="str">
        <f>Macro!A21</f>
        <v>box3d4r</v>
      </c>
      <c r="B21" s="1">
        <f>Macro!B21</f>
        <v>3</v>
      </c>
      <c r="C21" s="1">
        <f>Macro!C21</f>
        <v>4</v>
      </c>
      <c r="D21" s="1">
        <f>Macro!D21</f>
        <v>1457</v>
      </c>
      <c r="E21" s="1">
        <f>Macro!E21</f>
        <v>512</v>
      </c>
      <c r="F21" s="1">
        <f>Macro!F21</f>
        <v>1000</v>
      </c>
      <c r="G21" s="1">
        <f>Macro!G21</f>
        <v>1</v>
      </c>
      <c r="H21" s="1">
        <f>Macro!H21</f>
        <v>64</v>
      </c>
      <c r="I21" s="1">
        <f>Macro!I21</f>
        <v>16</v>
      </c>
      <c r="J21" s="1">
        <f>Macro!J21</f>
        <v>256</v>
      </c>
      <c r="K21" s="7">
        <f t="shared" si="0"/>
        <v>1000</v>
      </c>
      <c r="L21" s="2">
        <f>CEILING(E21/Formula!K21,1)*CEILING(E21/Formula!L21,1)*CEILING(E21/J21,1)</f>
        <v>1280</v>
      </c>
      <c r="M21" s="5">
        <f>FLOOR(L21/((2048/(H21*I21))*GPUs!$B$2),1)/(CEILING(L21/((2048/(H21*I21))*GPUs!$B$2),1))</f>
        <v>0.91666666666666663</v>
      </c>
      <c r="N21" s="2">
        <f>Macro!M21*(2*Macro!T21+Macro!U21+Macro!V21+Macro!W21)*CEILING(F21/G21,1)/POWER(1000,3)</f>
        <v>198610.78015999999</v>
      </c>
      <c r="O21" s="2">
        <f>(Formula!V21+Formula!W21)*8*K21/(POWER(1000,3))</f>
        <v>2373.7139200000001</v>
      </c>
      <c r="P21" s="2">
        <f>(Macro!M21*Macro!R21+Macro!N21*Macro!S21)*8*K21/(POWER(1000,3))</f>
        <v>89967.820800000001</v>
      </c>
      <c r="Q21" s="9">
        <f>N21/(GPUs!$D$2*Macro!X21)</f>
        <v>37.880092664092665</v>
      </c>
      <c r="R21" s="9">
        <f>O21/GPUs!$F$2</f>
        <v>4.3957665185185189</v>
      </c>
      <c r="S21" s="9">
        <f>P21/GPUs!$H$2</f>
        <v>8.8638247093596068</v>
      </c>
      <c r="T21" s="9">
        <f t="shared" si="1"/>
        <v>41.323737451737458</v>
      </c>
      <c r="U21" s="2">
        <f t="shared" si="3"/>
        <v>4732.27354917719</v>
      </c>
    </row>
    <row r="22" spans="1:21" x14ac:dyDescent="0.3">
      <c r="A22" s="1" t="str">
        <f>Formula!A22</f>
        <v>j3d27pt</v>
      </c>
      <c r="B22" s="1">
        <f>Formula!B22</f>
        <v>3</v>
      </c>
      <c r="C22" s="1">
        <f>Formula!C22</f>
        <v>1</v>
      </c>
      <c r="D22" s="1">
        <f>Formula!D22</f>
        <v>54</v>
      </c>
      <c r="E22" s="1">
        <f>Formula!E22</f>
        <v>512</v>
      </c>
      <c r="F22" s="1">
        <f>Formula!F22</f>
        <v>1000</v>
      </c>
      <c r="G22" s="1">
        <f>Formula!G22</f>
        <v>7</v>
      </c>
      <c r="H22" s="1">
        <f>Formula!H22</f>
        <v>64</v>
      </c>
      <c r="I22" s="1">
        <f>Formula!I22</f>
        <v>16</v>
      </c>
      <c r="J22" s="1">
        <f>Formula!J22</f>
        <v>256</v>
      </c>
      <c r="K22" s="7">
        <f t="shared" si="0"/>
        <v>143</v>
      </c>
      <c r="L22" s="2">
        <f>CEILING(E22/Formula!K22,1)*CEILING(E22/Formula!L22,1)*CEILING(E22/J22,1)</f>
        <v>5632</v>
      </c>
      <c r="M22" s="5">
        <f>FLOOR(L22/((2048/(H22*I22))*GPUs!$B$2),1)/(CEILING(L22/((2048/(H22*I22))*GPUs!$B$2),1))</f>
        <v>0.98039215686274506</v>
      </c>
      <c r="N22" s="2">
        <f>Macro!M22*(2*Macro!T22+Macro!U22+Macro!V22+Macro!W22)*CEILING(F22/G22,1)/POWER(1000,3)</f>
        <v>34665.017715328002</v>
      </c>
      <c r="O22" s="2">
        <f>(Formula!V22+Formula!W22)*8*K22/(POWER(1000,3))</f>
        <v>1694.3316515839999</v>
      </c>
      <c r="P22" s="2">
        <f>(Macro!M22*Macro!R22+Macro!N22*Macro!S22)*8*K22/(POWER(1000,3))</f>
        <v>51624.868252672</v>
      </c>
      <c r="Q22" s="9">
        <f>N22/(GPUs!$D$2*Macro!X22)</f>
        <v>7.0020455796935339</v>
      </c>
      <c r="R22" s="9">
        <f>O22/GPUs!$F$2</f>
        <v>3.1376512066370368</v>
      </c>
      <c r="S22" s="9">
        <f>P22/GPUs!$H$2</f>
        <v>5.0861939165194086</v>
      </c>
      <c r="T22" s="9">
        <f t="shared" si="1"/>
        <v>7.1420864912874045</v>
      </c>
      <c r="U22" s="2">
        <f t="shared" si="3"/>
        <v>1014.7955112055145</v>
      </c>
    </row>
    <row r="23" spans="1:21" x14ac:dyDescent="0.3">
      <c r="S23" s="9"/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31516-1F02-4379-91F3-FAEE8635A98D}">
  <sheetPr codeName="Sheet6"/>
  <dimension ref="A1:G196"/>
  <sheetViews>
    <sheetView workbookViewId="0">
      <selection activeCell="J27" sqref="J27"/>
    </sheetView>
  </sheetViews>
  <sheetFormatPr defaultColWidth="9.109375" defaultRowHeight="14.4" x14ac:dyDescent="0.3"/>
  <cols>
    <col min="1" max="1" width="10.5546875" style="1" bestFit="1" customWidth="1"/>
    <col min="2" max="5" width="9.109375" style="1"/>
    <col min="6" max="7" width="12.44140625" style="1" bestFit="1" customWidth="1"/>
    <col min="8" max="16384" width="9.109375" style="1"/>
  </cols>
  <sheetData>
    <row r="1" spans="1:7" ht="43.2" x14ac:dyDescent="0.3">
      <c r="A1" s="1" t="s">
        <v>90</v>
      </c>
      <c r="B1" s="1" t="s">
        <v>6</v>
      </c>
      <c r="C1" s="1" t="s">
        <v>7</v>
      </c>
      <c r="D1" s="1" t="s">
        <v>5</v>
      </c>
      <c r="E1" s="1" t="s">
        <v>8</v>
      </c>
      <c r="F1" s="3" t="s">
        <v>91</v>
      </c>
      <c r="G1" s="3" t="s">
        <v>92</v>
      </c>
    </row>
    <row r="2" spans="1:7" x14ac:dyDescent="0.3">
      <c r="A2" s="1" t="s">
        <v>75</v>
      </c>
      <c r="B2" s="1">
        <v>32</v>
      </c>
      <c r="C2" s="1">
        <v>32</v>
      </c>
      <c r="D2" s="1">
        <v>3</v>
      </c>
      <c r="E2" s="1">
        <v>128</v>
      </c>
      <c r="F2" s="2">
        <v>7908.3264136000953</v>
      </c>
      <c r="G2" s="2">
        <v>3954.1632068000476</v>
      </c>
    </row>
    <row r="3" spans="1:7" x14ac:dyDescent="0.3">
      <c r="A3" s="1" t="s">
        <v>75</v>
      </c>
      <c r="B3" s="1">
        <v>32</v>
      </c>
      <c r="C3" s="1">
        <v>32</v>
      </c>
      <c r="D3" s="1">
        <v>3</v>
      </c>
      <c r="E3" s="1">
        <v>256</v>
      </c>
      <c r="F3" s="2">
        <v>7475.6575104414842</v>
      </c>
      <c r="G3" s="2">
        <v>3737.8287552207421</v>
      </c>
    </row>
    <row r="4" spans="1:7" x14ac:dyDescent="0.3">
      <c r="A4" s="1" t="s">
        <v>75</v>
      </c>
      <c r="B4" s="1">
        <v>64</v>
      </c>
      <c r="C4" s="1">
        <v>16</v>
      </c>
      <c r="D4" s="1">
        <v>3</v>
      </c>
      <c r="E4" s="1">
        <v>128</v>
      </c>
      <c r="F4" s="2">
        <v>7370.0003239023508</v>
      </c>
      <c r="G4" s="2">
        <v>3685.0001619511754</v>
      </c>
    </row>
    <row r="5" spans="1:7" x14ac:dyDescent="0.3">
      <c r="A5" s="1" t="s">
        <v>75</v>
      </c>
      <c r="B5" s="1">
        <v>32</v>
      </c>
      <c r="C5" s="1">
        <v>32</v>
      </c>
      <c r="D5" s="1">
        <v>4</v>
      </c>
      <c r="E5" s="1">
        <v>128</v>
      </c>
      <c r="F5" s="2">
        <v>7090.408090673991</v>
      </c>
      <c r="G5" s="2">
        <v>3545.2040453369955</v>
      </c>
    </row>
    <row r="6" spans="1:7" x14ac:dyDescent="0.3">
      <c r="A6" s="1" t="s">
        <v>75</v>
      </c>
      <c r="B6" s="1">
        <v>64</v>
      </c>
      <c r="C6" s="1">
        <v>16</v>
      </c>
      <c r="D6" s="1">
        <v>3</v>
      </c>
      <c r="E6" s="1">
        <v>256</v>
      </c>
      <c r="F6" s="2">
        <v>7020.418232332946</v>
      </c>
      <c r="G6" s="2">
        <v>3510.209116166473</v>
      </c>
    </row>
    <row r="7" spans="1:7" x14ac:dyDescent="0.3">
      <c r="A7" s="1" t="s">
        <v>75</v>
      </c>
      <c r="B7" s="1">
        <v>32</v>
      </c>
      <c r="C7" s="1">
        <v>16</v>
      </c>
      <c r="D7" s="1">
        <v>3</v>
      </c>
      <c r="E7" s="1">
        <v>128</v>
      </c>
      <c r="F7" s="2">
        <v>7015.4664495452989</v>
      </c>
      <c r="G7" s="2">
        <v>3507.7332247726495</v>
      </c>
    </row>
    <row r="8" spans="1:7" x14ac:dyDescent="0.3">
      <c r="A8" s="1" t="s">
        <v>75</v>
      </c>
      <c r="B8" s="1">
        <v>32</v>
      </c>
      <c r="C8" s="1">
        <v>32</v>
      </c>
      <c r="D8" s="1">
        <v>4</v>
      </c>
      <c r="E8" s="1">
        <v>256</v>
      </c>
      <c r="F8" s="2">
        <v>6759.6678613572349</v>
      </c>
      <c r="G8" s="2">
        <v>3379.8339306786174</v>
      </c>
    </row>
    <row r="9" spans="1:7" x14ac:dyDescent="0.3">
      <c r="A9" s="1" t="s">
        <v>75</v>
      </c>
      <c r="B9" s="1">
        <v>32</v>
      </c>
      <c r="C9" s="1">
        <v>16</v>
      </c>
      <c r="D9" s="1">
        <v>3</v>
      </c>
      <c r="E9" s="1">
        <v>256</v>
      </c>
      <c r="F9" s="2">
        <v>6723.846689286137</v>
      </c>
      <c r="G9" s="2">
        <v>3361.9233446430685</v>
      </c>
    </row>
    <row r="10" spans="1:7" x14ac:dyDescent="0.3">
      <c r="A10" s="1" t="s">
        <v>75</v>
      </c>
      <c r="B10" s="1">
        <v>64</v>
      </c>
      <c r="C10" s="1">
        <v>16</v>
      </c>
      <c r="D10" s="1">
        <v>4</v>
      </c>
      <c r="E10" s="1">
        <v>128</v>
      </c>
      <c r="F10" s="2">
        <v>6267.4057271785978</v>
      </c>
      <c r="G10" s="2">
        <v>3133.7028635892989</v>
      </c>
    </row>
    <row r="11" spans="1:7" x14ac:dyDescent="0.3">
      <c r="A11" s="1" t="s">
        <v>75</v>
      </c>
      <c r="B11" s="1">
        <v>16</v>
      </c>
      <c r="C11" s="1">
        <v>16</v>
      </c>
      <c r="D11" s="1">
        <v>3</v>
      </c>
      <c r="E11" s="1">
        <v>128</v>
      </c>
      <c r="F11" s="2">
        <v>6162.890195545232</v>
      </c>
      <c r="G11" s="2">
        <v>3081.445097772616</v>
      </c>
    </row>
    <row r="12" spans="1:7" x14ac:dyDescent="0.3">
      <c r="A12" s="1" t="s">
        <v>75</v>
      </c>
      <c r="B12" s="1">
        <v>32</v>
      </c>
      <c r="C12" s="1">
        <v>32</v>
      </c>
      <c r="D12" s="1">
        <v>2</v>
      </c>
      <c r="E12" s="1">
        <v>128</v>
      </c>
      <c r="F12" s="2">
        <v>6040.9969637648765</v>
      </c>
      <c r="G12" s="2">
        <v>3048.7274396570406</v>
      </c>
    </row>
    <row r="13" spans="1:7" x14ac:dyDescent="0.3">
      <c r="A13" s="1" t="s">
        <v>75</v>
      </c>
      <c r="B13" s="1">
        <v>64</v>
      </c>
      <c r="C13" s="1">
        <v>16</v>
      </c>
      <c r="D13" s="1">
        <v>4</v>
      </c>
      <c r="E13" s="1">
        <v>256</v>
      </c>
      <c r="F13" s="2">
        <v>6087.8745856495916</v>
      </c>
      <c r="G13" s="2">
        <v>3043.9372928247958</v>
      </c>
    </row>
    <row r="14" spans="1:7" x14ac:dyDescent="0.3">
      <c r="A14" s="1" t="s">
        <v>75</v>
      </c>
      <c r="B14" s="1">
        <v>16</v>
      </c>
      <c r="C14" s="1">
        <v>16</v>
      </c>
      <c r="D14" s="1">
        <v>3</v>
      </c>
      <c r="E14" s="1">
        <v>256</v>
      </c>
      <c r="F14" s="2">
        <v>5981.6689183266963</v>
      </c>
      <c r="G14" s="2">
        <v>2990.8344591633481</v>
      </c>
    </row>
    <row r="15" spans="1:7" x14ac:dyDescent="0.3">
      <c r="A15" s="1" t="s">
        <v>75</v>
      </c>
      <c r="B15" s="1">
        <v>64</v>
      </c>
      <c r="C15" s="1">
        <v>16</v>
      </c>
      <c r="D15" s="1">
        <v>2</v>
      </c>
      <c r="E15" s="1">
        <v>128</v>
      </c>
      <c r="F15" s="2">
        <v>5912.7208438393527</v>
      </c>
      <c r="G15" s="2">
        <v>2983.9899585731309</v>
      </c>
    </row>
    <row r="16" spans="1:7" x14ac:dyDescent="0.3">
      <c r="A16" s="1" t="s">
        <v>75</v>
      </c>
      <c r="B16" s="1">
        <v>32</v>
      </c>
      <c r="C16" s="1">
        <v>16</v>
      </c>
      <c r="D16" s="1">
        <v>4</v>
      </c>
      <c r="E16" s="1">
        <v>128</v>
      </c>
      <c r="F16" s="2">
        <v>5846.3966332975324</v>
      </c>
      <c r="G16" s="2">
        <v>2923.1983166487662</v>
      </c>
    </row>
    <row r="17" spans="1:7" x14ac:dyDescent="0.3">
      <c r="A17" s="1" t="s">
        <v>75</v>
      </c>
      <c r="B17" s="1">
        <v>32</v>
      </c>
      <c r="C17" s="1">
        <v>16</v>
      </c>
      <c r="D17" s="1">
        <v>2</v>
      </c>
      <c r="E17" s="1">
        <v>128</v>
      </c>
      <c r="F17" s="2">
        <v>5778.6442392640856</v>
      </c>
      <c r="G17" s="2">
        <v>2916.3251300958937</v>
      </c>
    </row>
    <row r="18" spans="1:7" x14ac:dyDescent="0.3">
      <c r="A18" s="1" t="s">
        <v>75</v>
      </c>
      <c r="B18" s="1">
        <v>32</v>
      </c>
      <c r="C18" s="1">
        <v>32</v>
      </c>
      <c r="D18" s="1">
        <v>2</v>
      </c>
      <c r="E18" s="1">
        <v>256</v>
      </c>
      <c r="F18" s="2">
        <v>5656.5513126812421</v>
      </c>
      <c r="G18" s="2">
        <v>2854.7081391101592</v>
      </c>
    </row>
    <row r="19" spans="1:7" x14ac:dyDescent="0.3">
      <c r="A19" s="1" t="s">
        <v>75</v>
      </c>
      <c r="B19" s="1">
        <v>32</v>
      </c>
      <c r="C19" s="1">
        <v>16</v>
      </c>
      <c r="D19" s="1">
        <v>4</v>
      </c>
      <c r="E19" s="1">
        <v>256</v>
      </c>
      <c r="F19" s="2">
        <v>5690.8452608589741</v>
      </c>
      <c r="G19" s="2">
        <v>2845.4226304294871</v>
      </c>
    </row>
    <row r="20" spans="1:7" x14ac:dyDescent="0.3">
      <c r="A20" s="1" t="s">
        <v>75</v>
      </c>
      <c r="B20" s="1">
        <v>64</v>
      </c>
      <c r="C20" s="1">
        <v>16</v>
      </c>
      <c r="D20" s="1">
        <v>2</v>
      </c>
      <c r="E20" s="1">
        <v>256</v>
      </c>
      <c r="F20" s="2">
        <v>5504.7123294852654</v>
      </c>
      <c r="G20" s="2">
        <v>2778.0791195533116</v>
      </c>
    </row>
    <row r="21" spans="1:7" x14ac:dyDescent="0.3">
      <c r="A21" s="1" t="s">
        <v>75</v>
      </c>
      <c r="B21" s="1">
        <v>32</v>
      </c>
      <c r="C21" s="1">
        <v>16</v>
      </c>
      <c r="D21" s="1">
        <v>2</v>
      </c>
      <c r="E21" s="1">
        <v>256</v>
      </c>
      <c r="F21" s="2">
        <v>5464.9706737873412</v>
      </c>
      <c r="G21" s="2">
        <v>2758.0225830328636</v>
      </c>
    </row>
    <row r="22" spans="1:7" x14ac:dyDescent="0.3">
      <c r="A22" s="1" t="s">
        <v>75</v>
      </c>
      <c r="B22" s="1">
        <v>16</v>
      </c>
      <c r="C22" s="1">
        <v>16</v>
      </c>
      <c r="D22" s="1">
        <v>2</v>
      </c>
      <c r="E22" s="1">
        <v>128</v>
      </c>
      <c r="F22" s="2">
        <v>5462.1110372335224</v>
      </c>
      <c r="G22" s="2">
        <v>2756.5794019683194</v>
      </c>
    </row>
    <row r="23" spans="1:7" x14ac:dyDescent="0.3">
      <c r="A23" s="1" t="s">
        <v>75</v>
      </c>
      <c r="B23" s="1">
        <v>16</v>
      </c>
      <c r="C23" s="1">
        <v>16</v>
      </c>
      <c r="D23" s="1">
        <v>2</v>
      </c>
      <c r="E23" s="1">
        <v>256</v>
      </c>
      <c r="F23" s="2">
        <v>5206.0281676757122</v>
      </c>
      <c r="G23" s="2">
        <v>2627.3413182662475</v>
      </c>
    </row>
    <row r="24" spans="1:7" x14ac:dyDescent="0.3">
      <c r="A24" s="1" t="s">
        <v>75</v>
      </c>
      <c r="B24" s="1">
        <v>16</v>
      </c>
      <c r="C24" s="1">
        <v>16</v>
      </c>
      <c r="D24" s="1">
        <v>4</v>
      </c>
      <c r="E24" s="1">
        <v>128</v>
      </c>
      <c r="F24" s="2">
        <v>4724.6313628040079</v>
      </c>
      <c r="G24" s="2">
        <v>2362.315681402004</v>
      </c>
    </row>
    <row r="25" spans="1:7" x14ac:dyDescent="0.3">
      <c r="A25" s="1" t="s">
        <v>75</v>
      </c>
      <c r="B25" s="1">
        <v>16</v>
      </c>
      <c r="C25" s="1">
        <v>16</v>
      </c>
      <c r="D25" s="1">
        <v>4</v>
      </c>
      <c r="E25" s="1">
        <v>256</v>
      </c>
      <c r="F25" s="2">
        <v>4668.831071869924</v>
      </c>
      <c r="G25" s="2">
        <v>2334.415535934962</v>
      </c>
    </row>
    <row r="26" spans="1:7" x14ac:dyDescent="0.3">
      <c r="A26" s="1" t="s">
        <v>75</v>
      </c>
      <c r="B26" s="1">
        <v>32</v>
      </c>
      <c r="C26" s="1">
        <v>16</v>
      </c>
      <c r="D26" s="1">
        <v>5</v>
      </c>
      <c r="E26" s="1">
        <v>128</v>
      </c>
      <c r="F26" s="2">
        <v>4489.8808844658761</v>
      </c>
      <c r="G26" s="2">
        <v>2244.940442232938</v>
      </c>
    </row>
    <row r="27" spans="1:7" x14ac:dyDescent="0.3">
      <c r="A27" s="1" t="s">
        <v>75</v>
      </c>
      <c r="B27" s="1">
        <v>32</v>
      </c>
      <c r="C27" s="1">
        <v>16</v>
      </c>
      <c r="D27" s="1">
        <v>5</v>
      </c>
      <c r="E27" s="1">
        <v>256</v>
      </c>
      <c r="F27" s="2">
        <v>4457.072944711751</v>
      </c>
      <c r="G27" s="2">
        <v>2228.5364723558755</v>
      </c>
    </row>
    <row r="28" spans="1:7" x14ac:dyDescent="0.3">
      <c r="A28" s="1" t="s">
        <v>75</v>
      </c>
      <c r="B28" s="1">
        <v>32</v>
      </c>
      <c r="C28" s="1">
        <v>32</v>
      </c>
      <c r="D28" s="1">
        <v>1</v>
      </c>
      <c r="E28" s="1">
        <v>128</v>
      </c>
      <c r="F28" s="2">
        <v>3263.6735192779347</v>
      </c>
      <c r="G28" s="2">
        <v>1647.0875704767147</v>
      </c>
    </row>
    <row r="29" spans="1:7" x14ac:dyDescent="0.3">
      <c r="A29" s="1" t="s">
        <v>75</v>
      </c>
      <c r="B29" s="1">
        <v>64</v>
      </c>
      <c r="C29" s="1">
        <v>16</v>
      </c>
      <c r="D29" s="1">
        <v>1</v>
      </c>
      <c r="E29" s="1">
        <v>128</v>
      </c>
      <c r="F29" s="2">
        <v>3263.4491411457579</v>
      </c>
      <c r="G29" s="2">
        <v>1646.9743329146818</v>
      </c>
    </row>
    <row r="30" spans="1:7" x14ac:dyDescent="0.3">
      <c r="A30" s="1" t="s">
        <v>75</v>
      </c>
      <c r="B30" s="1">
        <v>16</v>
      </c>
      <c r="C30" s="1">
        <v>16</v>
      </c>
      <c r="D30" s="1">
        <v>1</v>
      </c>
      <c r="E30" s="1">
        <v>128</v>
      </c>
      <c r="F30" s="2">
        <v>3260.4674204822522</v>
      </c>
      <c r="G30" s="2">
        <v>1645.4695393088002</v>
      </c>
    </row>
    <row r="31" spans="1:7" x14ac:dyDescent="0.3">
      <c r="A31" s="1" t="s">
        <v>75</v>
      </c>
      <c r="B31" s="1">
        <v>32</v>
      </c>
      <c r="C31" s="1">
        <v>16</v>
      </c>
      <c r="D31" s="1">
        <v>1</v>
      </c>
      <c r="E31" s="1">
        <v>128</v>
      </c>
      <c r="F31" s="2">
        <v>3255.1687842307224</v>
      </c>
      <c r="G31" s="2">
        <v>1642.795461200551</v>
      </c>
    </row>
    <row r="32" spans="1:7" x14ac:dyDescent="0.3">
      <c r="A32" s="1" t="s">
        <v>75</v>
      </c>
      <c r="B32" s="1">
        <v>32</v>
      </c>
      <c r="C32" s="1">
        <v>16</v>
      </c>
      <c r="D32" s="1">
        <v>6</v>
      </c>
      <c r="E32" s="1">
        <v>256</v>
      </c>
      <c r="F32" s="2">
        <v>3154.2706094697733</v>
      </c>
      <c r="G32" s="2">
        <v>1577.1353047348866</v>
      </c>
    </row>
    <row r="33" spans="1:7" x14ac:dyDescent="0.3">
      <c r="A33" s="1" t="s">
        <v>75</v>
      </c>
      <c r="B33" s="1">
        <v>32</v>
      </c>
      <c r="C33" s="1">
        <v>16</v>
      </c>
      <c r="D33" s="1">
        <v>6</v>
      </c>
      <c r="E33" s="1">
        <v>128</v>
      </c>
      <c r="F33" s="2">
        <v>3128.5689967209005</v>
      </c>
      <c r="G33" s="2">
        <v>1564.2844983604502</v>
      </c>
    </row>
    <row r="34" spans="1:7" x14ac:dyDescent="0.3">
      <c r="A34" s="1" t="s">
        <v>75</v>
      </c>
      <c r="B34" s="1">
        <v>16</v>
      </c>
      <c r="C34" s="1">
        <v>16</v>
      </c>
      <c r="D34" s="1">
        <v>1</v>
      </c>
      <c r="E34" s="1">
        <v>256</v>
      </c>
      <c r="F34" s="2">
        <v>3039.5233558086893</v>
      </c>
      <c r="G34" s="2">
        <v>1533.965058071675</v>
      </c>
    </row>
    <row r="35" spans="1:7" x14ac:dyDescent="0.3">
      <c r="A35" s="1" t="s">
        <v>75</v>
      </c>
      <c r="B35" s="1">
        <v>16</v>
      </c>
      <c r="C35" s="1">
        <v>16</v>
      </c>
      <c r="D35" s="1">
        <v>5</v>
      </c>
      <c r="E35" s="1">
        <v>256</v>
      </c>
      <c r="F35" s="2">
        <v>3066.834793721162</v>
      </c>
      <c r="G35" s="2">
        <v>1533.417396860581</v>
      </c>
    </row>
    <row r="36" spans="1:7" x14ac:dyDescent="0.3">
      <c r="A36" s="1" t="s">
        <v>75</v>
      </c>
      <c r="B36" s="1">
        <v>16</v>
      </c>
      <c r="C36" s="1">
        <v>16</v>
      </c>
      <c r="D36" s="1">
        <v>5</v>
      </c>
      <c r="E36" s="1">
        <v>128</v>
      </c>
      <c r="F36" s="2">
        <v>3048.3112392332628</v>
      </c>
      <c r="G36" s="2">
        <v>1524.1556196166314</v>
      </c>
    </row>
    <row r="37" spans="1:7" x14ac:dyDescent="0.3">
      <c r="A37" s="1" t="s">
        <v>75</v>
      </c>
      <c r="B37" s="1">
        <v>32</v>
      </c>
      <c r="C37" s="1">
        <v>32</v>
      </c>
      <c r="D37" s="1">
        <v>1</v>
      </c>
      <c r="E37" s="1">
        <v>256</v>
      </c>
      <c r="F37" s="2">
        <v>2978.5934606665155</v>
      </c>
      <c r="G37" s="2">
        <v>1503.2153913644097</v>
      </c>
    </row>
    <row r="38" spans="1:7" x14ac:dyDescent="0.3">
      <c r="A38" s="1" t="s">
        <v>75</v>
      </c>
      <c r="B38" s="1">
        <v>64</v>
      </c>
      <c r="C38" s="1">
        <v>16</v>
      </c>
      <c r="D38" s="1">
        <v>1</v>
      </c>
      <c r="E38" s="1">
        <v>256</v>
      </c>
      <c r="F38" s="2">
        <v>2978.3894613402017</v>
      </c>
      <c r="G38" s="2">
        <v>1503.1124384333732</v>
      </c>
    </row>
    <row r="39" spans="1:7" x14ac:dyDescent="0.3">
      <c r="A39" s="1" t="s">
        <v>75</v>
      </c>
      <c r="B39" s="1">
        <v>32</v>
      </c>
      <c r="C39" s="1">
        <v>16</v>
      </c>
      <c r="D39" s="1">
        <v>1</v>
      </c>
      <c r="E39" s="1">
        <v>256</v>
      </c>
      <c r="F39" s="2">
        <v>2970.8610806866182</v>
      </c>
      <c r="G39" s="2">
        <v>1499.3130687577327</v>
      </c>
    </row>
    <row r="40" spans="1:7" x14ac:dyDescent="0.3">
      <c r="A40" s="1" t="s">
        <v>75</v>
      </c>
      <c r="B40" s="1">
        <v>32</v>
      </c>
      <c r="C40" s="1">
        <v>16</v>
      </c>
      <c r="D40" s="1">
        <v>7</v>
      </c>
      <c r="E40" s="1">
        <v>256</v>
      </c>
      <c r="F40" s="2">
        <v>1624.5069300706975</v>
      </c>
      <c r="G40" s="2">
        <v>812.25346503534877</v>
      </c>
    </row>
    <row r="41" spans="1:7" x14ac:dyDescent="0.3">
      <c r="A41" s="1" t="s">
        <v>75</v>
      </c>
      <c r="B41" s="1">
        <v>16</v>
      </c>
      <c r="C41" s="1">
        <v>16</v>
      </c>
      <c r="D41" s="1">
        <v>6</v>
      </c>
      <c r="E41" s="1">
        <v>256</v>
      </c>
      <c r="F41" s="2">
        <v>1618.6397256113351</v>
      </c>
      <c r="G41" s="2">
        <v>809.31986280566753</v>
      </c>
    </row>
    <row r="42" spans="1:7" x14ac:dyDescent="0.3">
      <c r="A42" s="1" t="s">
        <v>75</v>
      </c>
      <c r="B42" s="1">
        <v>16</v>
      </c>
      <c r="C42" s="1">
        <v>16</v>
      </c>
      <c r="D42" s="1">
        <v>6</v>
      </c>
      <c r="E42" s="1">
        <v>128</v>
      </c>
      <c r="F42" s="2">
        <v>1585.469417175141</v>
      </c>
      <c r="G42" s="2">
        <v>792.73470858757048</v>
      </c>
    </row>
    <row r="43" spans="1:7" x14ac:dyDescent="0.3">
      <c r="A43" s="1" t="s">
        <v>75</v>
      </c>
      <c r="B43" s="1">
        <v>32</v>
      </c>
      <c r="C43" s="1">
        <v>16</v>
      </c>
      <c r="D43" s="1">
        <v>7</v>
      </c>
      <c r="E43" s="1">
        <v>128</v>
      </c>
      <c r="F43" s="2">
        <v>1585.3935024296927</v>
      </c>
      <c r="G43" s="2">
        <v>792.69675121484636</v>
      </c>
    </row>
    <row r="44" spans="1:7" x14ac:dyDescent="0.3">
      <c r="A44" s="1" t="s">
        <v>75</v>
      </c>
      <c r="B44" s="1">
        <v>16</v>
      </c>
      <c r="C44" s="1">
        <v>16</v>
      </c>
      <c r="D44" s="1">
        <v>7</v>
      </c>
      <c r="E44" s="1">
        <v>256</v>
      </c>
      <c r="F44" s="2">
        <v>468.73914794905249</v>
      </c>
      <c r="G44" s="2">
        <v>234.36957397452625</v>
      </c>
    </row>
    <row r="45" spans="1:7" x14ac:dyDescent="0.3">
      <c r="A45" s="1" t="s">
        <v>75</v>
      </c>
      <c r="B45" s="1">
        <v>16</v>
      </c>
      <c r="C45" s="1">
        <v>16</v>
      </c>
      <c r="D45" s="1">
        <v>7</v>
      </c>
      <c r="E45" s="1">
        <v>128</v>
      </c>
      <c r="F45" s="2">
        <v>453.59069670470734</v>
      </c>
      <c r="G45" s="2">
        <v>226.79534835235367</v>
      </c>
    </row>
    <row r="46" spans="1:7" x14ac:dyDescent="0.3">
      <c r="A46" s="1" t="s">
        <v>75</v>
      </c>
      <c r="B46" s="1">
        <v>32</v>
      </c>
      <c r="C46" s="1">
        <v>32</v>
      </c>
      <c r="D46" s="1">
        <v>5</v>
      </c>
      <c r="E46" s="1">
        <v>128</v>
      </c>
      <c r="F46" s="2">
        <v>6369.3622964668839</v>
      </c>
      <c r="G46" s="2"/>
    </row>
    <row r="47" spans="1:7" x14ac:dyDescent="0.3">
      <c r="A47" s="1" t="s">
        <v>75</v>
      </c>
      <c r="B47" s="1">
        <v>32</v>
      </c>
      <c r="C47" s="1">
        <v>32</v>
      </c>
      <c r="D47" s="1">
        <v>5</v>
      </c>
      <c r="E47" s="1">
        <v>256</v>
      </c>
      <c r="F47" s="2">
        <v>6187.5326421399341</v>
      </c>
      <c r="G47" s="2"/>
    </row>
    <row r="48" spans="1:7" x14ac:dyDescent="0.3">
      <c r="A48" s="1" t="s">
        <v>75</v>
      </c>
      <c r="B48" s="1">
        <v>32</v>
      </c>
      <c r="C48" s="1">
        <v>32</v>
      </c>
      <c r="D48" s="1">
        <v>6</v>
      </c>
      <c r="E48" s="1">
        <v>128</v>
      </c>
      <c r="F48" s="2">
        <v>5774.135702115841</v>
      </c>
      <c r="G48" s="2"/>
    </row>
    <row r="49" spans="1:7" x14ac:dyDescent="0.3">
      <c r="A49" s="1" t="s">
        <v>75</v>
      </c>
      <c r="B49" s="1">
        <v>32</v>
      </c>
      <c r="C49" s="1">
        <v>32</v>
      </c>
      <c r="D49" s="1">
        <v>6</v>
      </c>
      <c r="E49" s="1">
        <v>256</v>
      </c>
      <c r="F49" s="2">
        <v>5677.7771915168842</v>
      </c>
      <c r="G49" s="2"/>
    </row>
    <row r="50" spans="1:7" x14ac:dyDescent="0.3">
      <c r="A50" s="1" t="s">
        <v>75</v>
      </c>
      <c r="B50" s="1">
        <v>64</v>
      </c>
      <c r="C50" s="1">
        <v>16</v>
      </c>
      <c r="D50" s="1">
        <v>5</v>
      </c>
      <c r="E50" s="1">
        <v>128</v>
      </c>
      <c r="F50" s="2">
        <v>5169.6747789872061</v>
      </c>
      <c r="G50" s="2"/>
    </row>
    <row r="51" spans="1:7" x14ac:dyDescent="0.3">
      <c r="A51" s="1" t="s">
        <v>75</v>
      </c>
      <c r="B51" s="1">
        <v>64</v>
      </c>
      <c r="C51" s="1">
        <v>16</v>
      </c>
      <c r="D51" s="1">
        <v>5</v>
      </c>
      <c r="E51" s="1">
        <v>256</v>
      </c>
      <c r="F51" s="2">
        <v>5102.46063714722</v>
      </c>
      <c r="G51" s="2"/>
    </row>
    <row r="52" spans="1:7" x14ac:dyDescent="0.3">
      <c r="A52" s="1" t="s">
        <v>75</v>
      </c>
      <c r="B52" s="1">
        <v>32</v>
      </c>
      <c r="C52" s="1">
        <v>32</v>
      </c>
      <c r="D52" s="1">
        <v>7</v>
      </c>
      <c r="E52" s="1">
        <v>128</v>
      </c>
      <c r="F52" s="2">
        <v>4969.1460291186204</v>
      </c>
      <c r="G52" s="2"/>
    </row>
    <row r="53" spans="1:7" x14ac:dyDescent="0.3">
      <c r="A53" s="1" t="s">
        <v>75</v>
      </c>
      <c r="B53" s="1">
        <v>32</v>
      </c>
      <c r="C53" s="1">
        <v>32</v>
      </c>
      <c r="D53" s="1">
        <v>7</v>
      </c>
      <c r="E53" s="1">
        <v>256</v>
      </c>
      <c r="F53" s="2">
        <v>4948.3006973980018</v>
      </c>
      <c r="G53" s="2"/>
    </row>
    <row r="54" spans="1:7" x14ac:dyDescent="0.3">
      <c r="A54" s="1" t="s">
        <v>75</v>
      </c>
      <c r="B54" s="1">
        <v>32</v>
      </c>
      <c r="C54" s="1">
        <v>32</v>
      </c>
      <c r="D54" s="1">
        <v>8</v>
      </c>
      <c r="E54" s="1">
        <v>256</v>
      </c>
      <c r="F54" s="2">
        <v>4377.4370226333976</v>
      </c>
      <c r="G54" s="2"/>
    </row>
    <row r="55" spans="1:7" x14ac:dyDescent="0.3">
      <c r="A55" s="1" t="s">
        <v>75</v>
      </c>
      <c r="B55" s="1">
        <v>32</v>
      </c>
      <c r="C55" s="1">
        <v>32</v>
      </c>
      <c r="D55" s="1">
        <v>8</v>
      </c>
      <c r="E55" s="1">
        <v>128</v>
      </c>
      <c r="F55" s="2">
        <v>4350.5442155376004</v>
      </c>
      <c r="G55" s="2"/>
    </row>
    <row r="56" spans="1:7" x14ac:dyDescent="0.3">
      <c r="A56" s="1" t="s">
        <v>75</v>
      </c>
      <c r="B56" s="1">
        <v>64</v>
      </c>
      <c r="C56" s="1">
        <v>16</v>
      </c>
      <c r="D56" s="1">
        <v>6</v>
      </c>
      <c r="E56" s="1">
        <v>256</v>
      </c>
      <c r="F56" s="2">
        <v>3863.7128694927951</v>
      </c>
      <c r="G56" s="2"/>
    </row>
    <row r="57" spans="1:7" x14ac:dyDescent="0.3">
      <c r="A57" s="1" t="s">
        <v>75</v>
      </c>
      <c r="B57" s="1">
        <v>64</v>
      </c>
      <c r="C57" s="1">
        <v>16</v>
      </c>
      <c r="D57" s="1">
        <v>6</v>
      </c>
      <c r="E57" s="1">
        <v>128</v>
      </c>
      <c r="F57" s="2">
        <v>3856.740976904156</v>
      </c>
      <c r="G57" s="2"/>
    </row>
    <row r="58" spans="1:7" x14ac:dyDescent="0.3">
      <c r="A58" s="1" t="s">
        <v>75</v>
      </c>
      <c r="B58" s="1">
        <v>64</v>
      </c>
      <c r="C58" s="1">
        <v>16</v>
      </c>
      <c r="D58" s="1">
        <v>7</v>
      </c>
      <c r="E58" s="1">
        <v>256</v>
      </c>
      <c r="F58" s="2">
        <v>2029.5910224110289</v>
      </c>
      <c r="G58" s="2"/>
    </row>
    <row r="59" spans="1:7" x14ac:dyDescent="0.3">
      <c r="A59" s="1" t="s">
        <v>75</v>
      </c>
      <c r="B59" s="1">
        <v>64</v>
      </c>
      <c r="C59" s="1">
        <v>16</v>
      </c>
      <c r="D59" s="1">
        <v>7</v>
      </c>
      <c r="E59" s="1">
        <v>128</v>
      </c>
      <c r="F59" s="2">
        <v>1987.2757329057952</v>
      </c>
      <c r="G59" s="2"/>
    </row>
    <row r="60" spans="1:7" x14ac:dyDescent="0.3">
      <c r="A60" s="1" t="s">
        <v>75</v>
      </c>
      <c r="B60" s="1">
        <v>16</v>
      </c>
      <c r="C60" s="1">
        <v>16</v>
      </c>
      <c r="D60" s="1">
        <v>8</v>
      </c>
      <c r="E60" s="1">
        <v>128</v>
      </c>
      <c r="F60" s="2"/>
      <c r="G60" s="2"/>
    </row>
    <row r="61" spans="1:7" x14ac:dyDescent="0.3">
      <c r="A61" s="1" t="s">
        <v>75</v>
      </c>
      <c r="B61" s="1">
        <v>16</v>
      </c>
      <c r="C61" s="1">
        <v>16</v>
      </c>
      <c r="D61" s="1">
        <v>8</v>
      </c>
      <c r="E61" s="1">
        <v>256</v>
      </c>
      <c r="F61" s="2"/>
      <c r="G61" s="2"/>
    </row>
    <row r="62" spans="1:7" x14ac:dyDescent="0.3">
      <c r="A62" s="1" t="s">
        <v>75</v>
      </c>
      <c r="B62" s="1">
        <v>16</v>
      </c>
      <c r="C62" s="1">
        <v>32</v>
      </c>
      <c r="D62" s="1">
        <v>1</v>
      </c>
      <c r="E62" s="1">
        <v>128</v>
      </c>
      <c r="F62" s="2"/>
      <c r="G62" s="2"/>
    </row>
    <row r="63" spans="1:7" x14ac:dyDescent="0.3">
      <c r="A63" s="1" t="s">
        <v>75</v>
      </c>
      <c r="B63" s="1">
        <v>16</v>
      </c>
      <c r="C63" s="1">
        <v>32</v>
      </c>
      <c r="D63" s="1">
        <v>2</v>
      </c>
      <c r="E63" s="1">
        <v>128</v>
      </c>
      <c r="F63" s="2"/>
      <c r="G63" s="2"/>
    </row>
    <row r="64" spans="1:7" x14ac:dyDescent="0.3">
      <c r="A64" s="1" t="s">
        <v>75</v>
      </c>
      <c r="B64" s="1">
        <v>16</v>
      </c>
      <c r="C64" s="1">
        <v>32</v>
      </c>
      <c r="D64" s="1">
        <v>3</v>
      </c>
      <c r="E64" s="1">
        <v>128</v>
      </c>
      <c r="F64" s="2"/>
      <c r="G64" s="2"/>
    </row>
    <row r="65" spans="1:7" x14ac:dyDescent="0.3">
      <c r="A65" s="1" t="s">
        <v>75</v>
      </c>
      <c r="B65" s="1">
        <v>16</v>
      </c>
      <c r="C65" s="1">
        <v>32</v>
      </c>
      <c r="D65" s="1">
        <v>4</v>
      </c>
      <c r="E65" s="1">
        <v>128</v>
      </c>
      <c r="F65" s="2"/>
      <c r="G65" s="2"/>
    </row>
    <row r="66" spans="1:7" x14ac:dyDescent="0.3">
      <c r="A66" s="1" t="s">
        <v>75</v>
      </c>
      <c r="B66" s="1">
        <v>16</v>
      </c>
      <c r="C66" s="1">
        <v>32</v>
      </c>
      <c r="D66" s="1">
        <v>5</v>
      </c>
      <c r="E66" s="1">
        <v>128</v>
      </c>
      <c r="F66" s="2"/>
      <c r="G66" s="2"/>
    </row>
    <row r="67" spans="1:7" x14ac:dyDescent="0.3">
      <c r="A67" s="1" t="s">
        <v>75</v>
      </c>
      <c r="B67" s="1">
        <v>16</v>
      </c>
      <c r="C67" s="1">
        <v>32</v>
      </c>
      <c r="D67" s="1">
        <v>6</v>
      </c>
      <c r="E67" s="1">
        <v>128</v>
      </c>
      <c r="F67" s="2"/>
      <c r="G67" s="2"/>
    </row>
    <row r="68" spans="1:7" x14ac:dyDescent="0.3">
      <c r="A68" s="1" t="s">
        <v>75</v>
      </c>
      <c r="B68" s="1">
        <v>16</v>
      </c>
      <c r="C68" s="1">
        <v>32</v>
      </c>
      <c r="D68" s="1">
        <v>7</v>
      </c>
      <c r="E68" s="1">
        <v>128</v>
      </c>
      <c r="F68" s="2"/>
      <c r="G68" s="2"/>
    </row>
    <row r="69" spans="1:7" x14ac:dyDescent="0.3">
      <c r="A69" s="1" t="s">
        <v>75</v>
      </c>
      <c r="B69" s="1">
        <v>16</v>
      </c>
      <c r="C69" s="1">
        <v>32</v>
      </c>
      <c r="D69" s="1">
        <v>8</v>
      </c>
      <c r="E69" s="1">
        <v>128</v>
      </c>
      <c r="F69" s="2"/>
      <c r="G69" s="2"/>
    </row>
    <row r="70" spans="1:7" x14ac:dyDescent="0.3">
      <c r="A70" s="1" t="s">
        <v>75</v>
      </c>
      <c r="B70" s="1">
        <v>16</v>
      </c>
      <c r="C70" s="1">
        <v>32</v>
      </c>
      <c r="D70" s="1">
        <v>1</v>
      </c>
      <c r="E70" s="1">
        <v>256</v>
      </c>
      <c r="F70" s="2"/>
      <c r="G70" s="2"/>
    </row>
    <row r="71" spans="1:7" x14ac:dyDescent="0.3">
      <c r="A71" s="1" t="s">
        <v>75</v>
      </c>
      <c r="B71" s="1">
        <v>16</v>
      </c>
      <c r="C71" s="1">
        <v>32</v>
      </c>
      <c r="D71" s="1">
        <v>2</v>
      </c>
      <c r="E71" s="1">
        <v>256</v>
      </c>
      <c r="F71" s="2"/>
      <c r="G71" s="2"/>
    </row>
    <row r="72" spans="1:7" x14ac:dyDescent="0.3">
      <c r="A72" s="1" t="s">
        <v>75</v>
      </c>
      <c r="B72" s="1">
        <v>16</v>
      </c>
      <c r="C72" s="1">
        <v>32</v>
      </c>
      <c r="D72" s="1">
        <v>3</v>
      </c>
      <c r="E72" s="1">
        <v>256</v>
      </c>
      <c r="F72" s="2"/>
      <c r="G72" s="2"/>
    </row>
    <row r="73" spans="1:7" x14ac:dyDescent="0.3">
      <c r="A73" s="1" t="s">
        <v>75</v>
      </c>
      <c r="B73" s="1">
        <v>16</v>
      </c>
      <c r="C73" s="1">
        <v>32</v>
      </c>
      <c r="D73" s="1">
        <v>4</v>
      </c>
      <c r="E73" s="1">
        <v>256</v>
      </c>
      <c r="F73" s="2"/>
      <c r="G73" s="2"/>
    </row>
    <row r="74" spans="1:7" x14ac:dyDescent="0.3">
      <c r="A74" s="1" t="s">
        <v>75</v>
      </c>
      <c r="B74" s="1">
        <v>16</v>
      </c>
      <c r="C74" s="1">
        <v>32</v>
      </c>
      <c r="D74" s="1">
        <v>5</v>
      </c>
      <c r="E74" s="1">
        <v>256</v>
      </c>
      <c r="F74" s="2"/>
      <c r="G74" s="2"/>
    </row>
    <row r="75" spans="1:7" x14ac:dyDescent="0.3">
      <c r="A75" s="1" t="s">
        <v>75</v>
      </c>
      <c r="B75" s="1">
        <v>16</v>
      </c>
      <c r="C75" s="1">
        <v>32</v>
      </c>
      <c r="D75" s="1">
        <v>6</v>
      </c>
      <c r="E75" s="1">
        <v>256</v>
      </c>
      <c r="F75" s="2"/>
      <c r="G75" s="2"/>
    </row>
    <row r="76" spans="1:7" x14ac:dyDescent="0.3">
      <c r="A76" s="1" t="s">
        <v>75</v>
      </c>
      <c r="B76" s="1">
        <v>16</v>
      </c>
      <c r="C76" s="1">
        <v>32</v>
      </c>
      <c r="D76" s="1">
        <v>7</v>
      </c>
      <c r="E76" s="1">
        <v>256</v>
      </c>
      <c r="F76" s="2"/>
      <c r="G76" s="2"/>
    </row>
    <row r="77" spans="1:7" x14ac:dyDescent="0.3">
      <c r="A77" s="1" t="s">
        <v>75</v>
      </c>
      <c r="B77" s="1">
        <v>16</v>
      </c>
      <c r="C77" s="1">
        <v>32</v>
      </c>
      <c r="D77" s="1">
        <v>8</v>
      </c>
      <c r="E77" s="1">
        <v>256</v>
      </c>
      <c r="F77" s="2"/>
      <c r="G77" s="2"/>
    </row>
    <row r="78" spans="1:7" x14ac:dyDescent="0.3">
      <c r="A78" s="1" t="s">
        <v>75</v>
      </c>
      <c r="B78" s="1">
        <v>32</v>
      </c>
      <c r="C78" s="1">
        <v>16</v>
      </c>
      <c r="D78" s="1">
        <v>8</v>
      </c>
      <c r="E78" s="1">
        <v>128</v>
      </c>
      <c r="F78" s="2"/>
      <c r="G78" s="2"/>
    </row>
    <row r="79" spans="1:7" x14ac:dyDescent="0.3">
      <c r="A79" s="1" t="s">
        <v>75</v>
      </c>
      <c r="B79" s="1">
        <v>32</v>
      </c>
      <c r="C79" s="1">
        <v>16</v>
      </c>
      <c r="D79" s="1">
        <v>8</v>
      </c>
      <c r="E79" s="1">
        <v>256</v>
      </c>
      <c r="F79" s="2"/>
      <c r="G79" s="2"/>
    </row>
    <row r="80" spans="1:7" x14ac:dyDescent="0.3">
      <c r="A80" s="1" t="s">
        <v>75</v>
      </c>
      <c r="B80" s="1">
        <v>64</v>
      </c>
      <c r="C80" s="1">
        <v>16</v>
      </c>
      <c r="D80" s="1">
        <v>8</v>
      </c>
      <c r="E80" s="1">
        <v>128</v>
      </c>
      <c r="F80" s="2"/>
      <c r="G80" s="2"/>
    </row>
    <row r="81" spans="1:7" x14ac:dyDescent="0.3">
      <c r="A81" s="1" t="s">
        <v>75</v>
      </c>
      <c r="B81" s="1">
        <v>64</v>
      </c>
      <c r="C81" s="1">
        <v>16</v>
      </c>
      <c r="D81" s="1">
        <v>8</v>
      </c>
      <c r="E81" s="1">
        <v>256</v>
      </c>
      <c r="F81" s="2"/>
      <c r="G81" s="2"/>
    </row>
    <row r="82" spans="1:7" x14ac:dyDescent="0.3">
      <c r="A82" s="1" t="s">
        <v>75</v>
      </c>
      <c r="B82" s="1">
        <v>64</v>
      </c>
      <c r="C82" s="1">
        <v>32</v>
      </c>
      <c r="D82" s="1">
        <v>1</v>
      </c>
      <c r="E82" s="1">
        <v>128</v>
      </c>
      <c r="F82" s="2"/>
      <c r="G82" s="2"/>
    </row>
    <row r="83" spans="1:7" x14ac:dyDescent="0.3">
      <c r="A83" s="1" t="s">
        <v>75</v>
      </c>
      <c r="B83" s="1">
        <v>64</v>
      </c>
      <c r="C83" s="1">
        <v>32</v>
      </c>
      <c r="D83" s="1">
        <v>2</v>
      </c>
      <c r="E83" s="1">
        <v>128</v>
      </c>
      <c r="F83" s="2"/>
      <c r="G83" s="2"/>
    </row>
    <row r="84" spans="1:7" x14ac:dyDescent="0.3">
      <c r="A84" s="1" t="s">
        <v>75</v>
      </c>
      <c r="B84" s="1">
        <v>64</v>
      </c>
      <c r="C84" s="1">
        <v>32</v>
      </c>
      <c r="D84" s="1">
        <v>3</v>
      </c>
      <c r="E84" s="1">
        <v>128</v>
      </c>
      <c r="F84" s="2"/>
      <c r="G84" s="2"/>
    </row>
    <row r="85" spans="1:7" x14ac:dyDescent="0.3">
      <c r="A85" s="1" t="s">
        <v>75</v>
      </c>
      <c r="B85" s="1">
        <v>64</v>
      </c>
      <c r="C85" s="1">
        <v>32</v>
      </c>
      <c r="D85" s="1">
        <v>4</v>
      </c>
      <c r="E85" s="1">
        <v>128</v>
      </c>
      <c r="F85" s="2"/>
      <c r="G85" s="2"/>
    </row>
    <row r="86" spans="1:7" x14ac:dyDescent="0.3">
      <c r="A86" s="1" t="s">
        <v>75</v>
      </c>
      <c r="B86" s="1">
        <v>64</v>
      </c>
      <c r="C86" s="1">
        <v>32</v>
      </c>
      <c r="D86" s="1">
        <v>5</v>
      </c>
      <c r="E86" s="1">
        <v>128</v>
      </c>
      <c r="F86" s="2"/>
      <c r="G86" s="2"/>
    </row>
    <row r="87" spans="1:7" x14ac:dyDescent="0.3">
      <c r="A87" s="1" t="s">
        <v>75</v>
      </c>
      <c r="B87" s="1">
        <v>64</v>
      </c>
      <c r="C87" s="1">
        <v>32</v>
      </c>
      <c r="D87" s="1">
        <v>6</v>
      </c>
      <c r="E87" s="1">
        <v>128</v>
      </c>
      <c r="F87" s="2"/>
      <c r="G87" s="2"/>
    </row>
    <row r="88" spans="1:7" x14ac:dyDescent="0.3">
      <c r="A88" s="1" t="s">
        <v>75</v>
      </c>
      <c r="B88" s="1">
        <v>64</v>
      </c>
      <c r="C88" s="1">
        <v>32</v>
      </c>
      <c r="D88" s="1">
        <v>7</v>
      </c>
      <c r="E88" s="1">
        <v>128</v>
      </c>
      <c r="F88" s="2"/>
      <c r="G88" s="2"/>
    </row>
    <row r="89" spans="1:7" x14ac:dyDescent="0.3">
      <c r="A89" s="1" t="s">
        <v>75</v>
      </c>
      <c r="B89" s="1">
        <v>64</v>
      </c>
      <c r="C89" s="1">
        <v>32</v>
      </c>
      <c r="D89" s="1">
        <v>8</v>
      </c>
      <c r="E89" s="1">
        <v>128</v>
      </c>
      <c r="F89" s="2"/>
      <c r="G89" s="2"/>
    </row>
    <row r="90" spans="1:7" x14ac:dyDescent="0.3">
      <c r="A90" s="1" t="s">
        <v>75</v>
      </c>
      <c r="B90" s="1">
        <v>64</v>
      </c>
      <c r="C90" s="1">
        <v>32</v>
      </c>
      <c r="D90" s="1">
        <v>1</v>
      </c>
      <c r="E90" s="1">
        <v>256</v>
      </c>
      <c r="F90" s="2"/>
      <c r="G90" s="2"/>
    </row>
    <row r="91" spans="1:7" x14ac:dyDescent="0.3">
      <c r="A91" s="1" t="s">
        <v>75</v>
      </c>
      <c r="B91" s="1">
        <v>64</v>
      </c>
      <c r="C91" s="1">
        <v>32</v>
      </c>
      <c r="D91" s="1">
        <v>2</v>
      </c>
      <c r="E91" s="1">
        <v>256</v>
      </c>
      <c r="F91" s="2"/>
      <c r="G91" s="2"/>
    </row>
    <row r="92" spans="1:7" x14ac:dyDescent="0.3">
      <c r="A92" s="1" t="s">
        <v>75</v>
      </c>
      <c r="B92" s="1">
        <v>64</v>
      </c>
      <c r="C92" s="1">
        <v>32</v>
      </c>
      <c r="D92" s="1">
        <v>3</v>
      </c>
      <c r="E92" s="1">
        <v>256</v>
      </c>
      <c r="F92" s="2"/>
      <c r="G92" s="2"/>
    </row>
    <row r="93" spans="1:7" x14ac:dyDescent="0.3">
      <c r="A93" s="1" t="s">
        <v>75</v>
      </c>
      <c r="B93" s="1">
        <v>64</v>
      </c>
      <c r="C93" s="1">
        <v>32</v>
      </c>
      <c r="D93" s="1">
        <v>4</v>
      </c>
      <c r="E93" s="1">
        <v>256</v>
      </c>
      <c r="F93" s="2"/>
      <c r="G93" s="2"/>
    </row>
    <row r="94" spans="1:7" x14ac:dyDescent="0.3">
      <c r="A94" s="1" t="s">
        <v>75</v>
      </c>
      <c r="B94" s="1">
        <v>64</v>
      </c>
      <c r="C94" s="1">
        <v>32</v>
      </c>
      <c r="D94" s="1">
        <v>5</v>
      </c>
      <c r="E94" s="1">
        <v>256</v>
      </c>
      <c r="F94" s="2"/>
      <c r="G94" s="2"/>
    </row>
    <row r="95" spans="1:7" x14ac:dyDescent="0.3">
      <c r="A95" s="1" t="s">
        <v>75</v>
      </c>
      <c r="B95" s="1">
        <v>64</v>
      </c>
      <c r="C95" s="1">
        <v>32</v>
      </c>
      <c r="D95" s="1">
        <v>6</v>
      </c>
      <c r="E95" s="1">
        <v>256</v>
      </c>
      <c r="F95" s="2"/>
      <c r="G95" s="2"/>
    </row>
    <row r="96" spans="1:7" x14ac:dyDescent="0.3">
      <c r="A96" s="1" t="s">
        <v>75</v>
      </c>
      <c r="B96" s="1">
        <v>64</v>
      </c>
      <c r="C96" s="1">
        <v>32</v>
      </c>
      <c r="D96" s="1">
        <v>7</v>
      </c>
      <c r="E96" s="1">
        <v>256</v>
      </c>
      <c r="F96" s="2"/>
      <c r="G96" s="2"/>
    </row>
    <row r="97" spans="1:7" x14ac:dyDescent="0.3">
      <c r="A97" s="1" t="s">
        <v>75</v>
      </c>
      <c r="B97" s="1">
        <v>64</v>
      </c>
      <c r="C97" s="1">
        <v>32</v>
      </c>
      <c r="D97" s="1">
        <v>8</v>
      </c>
      <c r="E97" s="1">
        <v>256</v>
      </c>
      <c r="F97" s="2"/>
      <c r="G97" s="2"/>
    </row>
    <row r="98" spans="1:7" x14ac:dyDescent="0.3">
      <c r="F98" s="2"/>
      <c r="G98" s="2"/>
    </row>
    <row r="99" spans="1:7" x14ac:dyDescent="0.3">
      <c r="F99" s="2"/>
      <c r="G99" s="2"/>
    </row>
    <row r="100" spans="1:7" x14ac:dyDescent="0.3">
      <c r="F100" s="2"/>
      <c r="G100" s="2"/>
    </row>
    <row r="101" spans="1:7" x14ac:dyDescent="0.3">
      <c r="F101" s="2"/>
      <c r="G101" s="2"/>
    </row>
    <row r="102" spans="1:7" x14ac:dyDescent="0.3">
      <c r="F102" s="2"/>
      <c r="G102" s="2"/>
    </row>
    <row r="103" spans="1:7" x14ac:dyDescent="0.3">
      <c r="F103" s="2"/>
      <c r="G103" s="2"/>
    </row>
    <row r="104" spans="1:7" x14ac:dyDescent="0.3">
      <c r="F104" s="2"/>
      <c r="G104" s="2"/>
    </row>
    <row r="105" spans="1:7" x14ac:dyDescent="0.3">
      <c r="F105" s="2"/>
      <c r="G105" s="2"/>
    </row>
    <row r="106" spans="1:7" x14ac:dyDescent="0.3">
      <c r="F106" s="2"/>
      <c r="G106" s="2"/>
    </row>
    <row r="107" spans="1:7" x14ac:dyDescent="0.3">
      <c r="F107" s="2"/>
      <c r="G107" s="2"/>
    </row>
    <row r="108" spans="1:7" x14ac:dyDescent="0.3">
      <c r="F108" s="2"/>
      <c r="G108" s="2"/>
    </row>
    <row r="109" spans="1:7" x14ac:dyDescent="0.3">
      <c r="F109" s="2"/>
      <c r="G109" s="2"/>
    </row>
    <row r="110" spans="1:7" x14ac:dyDescent="0.3">
      <c r="F110" s="2"/>
      <c r="G110" s="2"/>
    </row>
    <row r="111" spans="1:7" x14ac:dyDescent="0.3">
      <c r="F111" s="2"/>
      <c r="G111" s="2"/>
    </row>
    <row r="112" spans="1:7" x14ac:dyDescent="0.3">
      <c r="F112" s="2"/>
      <c r="G112" s="2"/>
    </row>
    <row r="113" spans="6:7" x14ac:dyDescent="0.3">
      <c r="F113" s="2"/>
      <c r="G113" s="2"/>
    </row>
    <row r="114" spans="6:7" x14ac:dyDescent="0.3">
      <c r="F114" s="2"/>
      <c r="G114" s="2"/>
    </row>
    <row r="115" spans="6:7" x14ac:dyDescent="0.3">
      <c r="F115" s="2"/>
      <c r="G115" s="2"/>
    </row>
    <row r="116" spans="6:7" x14ac:dyDescent="0.3">
      <c r="F116" s="2"/>
      <c r="G116" s="2"/>
    </row>
    <row r="117" spans="6:7" x14ac:dyDescent="0.3">
      <c r="F117" s="2"/>
      <c r="G117" s="2"/>
    </row>
    <row r="118" spans="6:7" x14ac:dyDescent="0.3">
      <c r="F118" s="2"/>
      <c r="G118" s="2"/>
    </row>
    <row r="119" spans="6:7" x14ac:dyDescent="0.3">
      <c r="F119" s="2"/>
      <c r="G119" s="2"/>
    </row>
    <row r="120" spans="6:7" x14ac:dyDescent="0.3">
      <c r="F120" s="2"/>
      <c r="G120" s="2"/>
    </row>
    <row r="121" spans="6:7" x14ac:dyDescent="0.3">
      <c r="F121" s="2"/>
      <c r="G121" s="2"/>
    </row>
    <row r="122" spans="6:7" x14ac:dyDescent="0.3">
      <c r="F122" s="2"/>
      <c r="G122" s="2"/>
    </row>
    <row r="123" spans="6:7" x14ac:dyDescent="0.3">
      <c r="F123" s="2"/>
      <c r="G123" s="2"/>
    </row>
    <row r="124" spans="6:7" x14ac:dyDescent="0.3">
      <c r="F124" s="2"/>
      <c r="G124" s="2"/>
    </row>
    <row r="125" spans="6:7" x14ac:dyDescent="0.3">
      <c r="F125" s="2"/>
      <c r="G125" s="2"/>
    </row>
    <row r="126" spans="6:7" x14ac:dyDescent="0.3">
      <c r="F126" s="2"/>
      <c r="G126" s="2"/>
    </row>
    <row r="127" spans="6:7" x14ac:dyDescent="0.3">
      <c r="F127" s="2"/>
      <c r="G127" s="2"/>
    </row>
    <row r="128" spans="6:7" x14ac:dyDescent="0.3">
      <c r="F128" s="2"/>
      <c r="G128" s="2"/>
    </row>
    <row r="129" spans="6:7" x14ac:dyDescent="0.3">
      <c r="F129" s="2"/>
      <c r="G129" s="2"/>
    </row>
    <row r="130" spans="6:7" x14ac:dyDescent="0.3">
      <c r="F130" s="2"/>
      <c r="G130" s="2"/>
    </row>
    <row r="131" spans="6:7" x14ac:dyDescent="0.3">
      <c r="F131" s="2"/>
      <c r="G131" s="2"/>
    </row>
    <row r="132" spans="6:7" x14ac:dyDescent="0.3">
      <c r="F132" s="2"/>
      <c r="G132" s="2"/>
    </row>
    <row r="133" spans="6:7" x14ac:dyDescent="0.3">
      <c r="F133" s="2"/>
      <c r="G133" s="2"/>
    </row>
    <row r="134" spans="6:7" x14ac:dyDescent="0.3">
      <c r="F134" s="2"/>
      <c r="G134" s="2"/>
    </row>
    <row r="135" spans="6:7" x14ac:dyDescent="0.3">
      <c r="F135" s="2"/>
      <c r="G135" s="2"/>
    </row>
    <row r="136" spans="6:7" x14ac:dyDescent="0.3">
      <c r="F136" s="2"/>
      <c r="G136" s="2"/>
    </row>
    <row r="137" spans="6:7" x14ac:dyDescent="0.3">
      <c r="F137" s="2"/>
      <c r="G137" s="2"/>
    </row>
    <row r="138" spans="6:7" x14ac:dyDescent="0.3">
      <c r="F138" s="2"/>
      <c r="G138" s="2"/>
    </row>
    <row r="139" spans="6:7" x14ac:dyDescent="0.3">
      <c r="F139" s="2"/>
      <c r="G139" s="2"/>
    </row>
    <row r="140" spans="6:7" x14ac:dyDescent="0.3">
      <c r="F140" s="2"/>
      <c r="G140" s="2"/>
    </row>
    <row r="141" spans="6:7" x14ac:dyDescent="0.3">
      <c r="F141" s="2"/>
      <c r="G141" s="2"/>
    </row>
    <row r="142" spans="6:7" x14ac:dyDescent="0.3">
      <c r="F142" s="2"/>
      <c r="G142" s="2"/>
    </row>
    <row r="143" spans="6:7" x14ac:dyDescent="0.3">
      <c r="F143" s="2"/>
      <c r="G143" s="2"/>
    </row>
    <row r="144" spans="6:7" x14ac:dyDescent="0.3">
      <c r="F144" s="2"/>
      <c r="G144" s="2"/>
    </row>
    <row r="145" spans="6:7" x14ac:dyDescent="0.3">
      <c r="F145" s="2"/>
      <c r="G145" s="2"/>
    </row>
    <row r="146" spans="6:7" x14ac:dyDescent="0.3">
      <c r="F146" s="2"/>
      <c r="G146" s="2"/>
    </row>
    <row r="147" spans="6:7" x14ac:dyDescent="0.3">
      <c r="F147" s="2"/>
      <c r="G147" s="2"/>
    </row>
    <row r="148" spans="6:7" x14ac:dyDescent="0.3">
      <c r="F148" s="2"/>
      <c r="G148" s="2"/>
    </row>
    <row r="149" spans="6:7" x14ac:dyDescent="0.3">
      <c r="F149" s="2"/>
      <c r="G149" s="2"/>
    </row>
    <row r="150" spans="6:7" x14ac:dyDescent="0.3">
      <c r="F150" s="2"/>
      <c r="G150" s="2"/>
    </row>
    <row r="151" spans="6:7" x14ac:dyDescent="0.3">
      <c r="F151" s="2"/>
      <c r="G151" s="2"/>
    </row>
    <row r="152" spans="6:7" x14ac:dyDescent="0.3">
      <c r="F152" s="2"/>
      <c r="G152" s="2"/>
    </row>
    <row r="153" spans="6:7" x14ac:dyDescent="0.3">
      <c r="F153" s="2"/>
      <c r="G153" s="2"/>
    </row>
    <row r="154" spans="6:7" x14ac:dyDescent="0.3">
      <c r="F154" s="2"/>
      <c r="G154" s="2"/>
    </row>
    <row r="155" spans="6:7" x14ac:dyDescent="0.3">
      <c r="F155" s="2"/>
      <c r="G155" s="2"/>
    </row>
    <row r="156" spans="6:7" x14ac:dyDescent="0.3">
      <c r="F156" s="2"/>
      <c r="G156" s="2"/>
    </row>
    <row r="157" spans="6:7" x14ac:dyDescent="0.3">
      <c r="F157" s="2"/>
      <c r="G157" s="2"/>
    </row>
    <row r="158" spans="6:7" x14ac:dyDescent="0.3">
      <c r="F158" s="2"/>
      <c r="G158" s="2"/>
    </row>
    <row r="159" spans="6:7" x14ac:dyDescent="0.3">
      <c r="F159" s="2"/>
      <c r="G159" s="2"/>
    </row>
    <row r="160" spans="6:7" x14ac:dyDescent="0.3">
      <c r="F160" s="2"/>
      <c r="G160" s="2"/>
    </row>
    <row r="161" spans="6:7" x14ac:dyDescent="0.3">
      <c r="F161" s="2"/>
      <c r="G161" s="2"/>
    </row>
    <row r="162" spans="6:7" x14ac:dyDescent="0.3">
      <c r="F162" s="2"/>
      <c r="G162" s="2"/>
    </row>
    <row r="163" spans="6:7" x14ac:dyDescent="0.3">
      <c r="F163" s="2"/>
      <c r="G163" s="2"/>
    </row>
    <row r="164" spans="6:7" x14ac:dyDescent="0.3">
      <c r="F164" s="2"/>
      <c r="G164" s="2"/>
    </row>
    <row r="165" spans="6:7" x14ac:dyDescent="0.3">
      <c r="F165" s="2"/>
      <c r="G165" s="2"/>
    </row>
    <row r="166" spans="6:7" x14ac:dyDescent="0.3">
      <c r="F166" s="2"/>
      <c r="G166" s="2"/>
    </row>
    <row r="167" spans="6:7" x14ac:dyDescent="0.3">
      <c r="F167" s="2"/>
      <c r="G167" s="2"/>
    </row>
    <row r="168" spans="6:7" x14ac:dyDescent="0.3">
      <c r="F168" s="2"/>
      <c r="G168" s="2"/>
    </row>
    <row r="169" spans="6:7" x14ac:dyDescent="0.3">
      <c r="F169" s="2"/>
      <c r="G169" s="2"/>
    </row>
    <row r="170" spans="6:7" x14ac:dyDescent="0.3">
      <c r="F170" s="2"/>
      <c r="G170" s="2"/>
    </row>
    <row r="171" spans="6:7" x14ac:dyDescent="0.3">
      <c r="F171" s="2"/>
      <c r="G171" s="2"/>
    </row>
    <row r="172" spans="6:7" x14ac:dyDescent="0.3">
      <c r="F172" s="2"/>
      <c r="G172" s="2"/>
    </row>
    <row r="173" spans="6:7" x14ac:dyDescent="0.3">
      <c r="F173" s="2"/>
      <c r="G173" s="2"/>
    </row>
    <row r="174" spans="6:7" x14ac:dyDescent="0.3">
      <c r="F174" s="2"/>
      <c r="G174" s="2"/>
    </row>
    <row r="175" spans="6:7" x14ac:dyDescent="0.3">
      <c r="F175" s="2"/>
      <c r="G175" s="2"/>
    </row>
    <row r="176" spans="6:7" x14ac:dyDescent="0.3">
      <c r="F176" s="2"/>
      <c r="G176" s="2"/>
    </row>
    <row r="177" spans="6:7" x14ac:dyDescent="0.3">
      <c r="F177" s="2"/>
      <c r="G177" s="2"/>
    </row>
    <row r="178" spans="6:7" x14ac:dyDescent="0.3">
      <c r="F178" s="2"/>
      <c r="G178" s="2"/>
    </row>
    <row r="179" spans="6:7" x14ac:dyDescent="0.3">
      <c r="F179" s="2"/>
      <c r="G179" s="2"/>
    </row>
    <row r="180" spans="6:7" x14ac:dyDescent="0.3">
      <c r="F180" s="2"/>
      <c r="G180" s="2"/>
    </row>
    <row r="181" spans="6:7" x14ac:dyDescent="0.3">
      <c r="F181" s="2"/>
      <c r="G181" s="2"/>
    </row>
    <row r="182" spans="6:7" x14ac:dyDescent="0.3">
      <c r="F182" s="2"/>
      <c r="G182" s="2"/>
    </row>
    <row r="183" spans="6:7" x14ac:dyDescent="0.3">
      <c r="F183" s="2"/>
      <c r="G183" s="2"/>
    </row>
    <row r="184" spans="6:7" x14ac:dyDescent="0.3">
      <c r="F184" s="2"/>
      <c r="G184" s="2"/>
    </row>
    <row r="185" spans="6:7" x14ac:dyDescent="0.3">
      <c r="F185" s="2"/>
      <c r="G185" s="2"/>
    </row>
    <row r="186" spans="6:7" x14ac:dyDescent="0.3">
      <c r="F186" s="2"/>
      <c r="G186" s="2"/>
    </row>
    <row r="187" spans="6:7" x14ac:dyDescent="0.3">
      <c r="F187" s="2"/>
      <c r="G187" s="2"/>
    </row>
    <row r="188" spans="6:7" x14ac:dyDescent="0.3">
      <c r="F188" s="2"/>
      <c r="G188" s="2"/>
    </row>
    <row r="189" spans="6:7" x14ac:dyDescent="0.3">
      <c r="F189" s="2"/>
      <c r="G189" s="2"/>
    </row>
    <row r="190" spans="6:7" x14ac:dyDescent="0.3">
      <c r="F190" s="2"/>
      <c r="G190" s="2"/>
    </row>
    <row r="191" spans="6:7" x14ac:dyDescent="0.3">
      <c r="F191" s="2"/>
      <c r="G191" s="2"/>
    </row>
    <row r="192" spans="6:7" x14ac:dyDescent="0.3">
      <c r="F192" s="2"/>
      <c r="G192" s="2"/>
    </row>
    <row r="193" spans="6:7" x14ac:dyDescent="0.3">
      <c r="F193" s="2"/>
      <c r="G193" s="2"/>
    </row>
    <row r="194" spans="6:7" x14ac:dyDescent="0.3">
      <c r="F194" s="2"/>
      <c r="G194" s="2"/>
    </row>
    <row r="195" spans="6:7" x14ac:dyDescent="0.3">
      <c r="F195" s="2"/>
      <c r="G195" s="2"/>
    </row>
    <row r="196" spans="6:7" x14ac:dyDescent="0.3">
      <c r="F196" s="2"/>
      <c r="G196" s="2"/>
    </row>
  </sheetData>
  <sortState ref="A2:G237">
    <sortCondition descending="1" ref="G1"/>
  </sortState>
  <conditionalFormatting sqref="F2:F400">
    <cfRule type="expression" dxfId="9" priority="1">
      <formula>F2=LARGE(F$2:F$400,1)</formula>
    </cfRule>
    <cfRule type="expression" dxfId="8" priority="2">
      <formula>F2=LARGE(F$2:F$400,2)</formula>
    </cfRule>
    <cfRule type="expression" dxfId="7" priority="3">
      <formula>F2=LARGE(F$2:F$400,3)</formula>
    </cfRule>
    <cfRule type="expression" dxfId="6" priority="4">
      <formula>F2=LARGE(F$2:F$400,4)</formula>
    </cfRule>
    <cfRule type="expression" dxfId="5" priority="5">
      <formula>F2=LARGE(F$2:F$400,5)</formula>
    </cfRule>
  </conditionalFormatting>
  <conditionalFormatting sqref="G2:G400">
    <cfRule type="expression" dxfId="4" priority="6">
      <formula>G2=LARGE(G$2:G$400,1)</formula>
    </cfRule>
    <cfRule type="expression" dxfId="3" priority="7">
      <formula>G2=LARGE(G$2:G$400,2)</formula>
    </cfRule>
    <cfRule type="expression" dxfId="2" priority="8">
      <formula>G2=LARGE(G$2:G$400,3)</formula>
    </cfRule>
    <cfRule type="expression" dxfId="1" priority="9">
      <formula>G2=LARGE(G$2:G$400,4)</formula>
    </cfRule>
    <cfRule type="expression" dxfId="0" priority="10">
      <formula>G2=LARGE(G$2:G$400,5)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D6F2C-03AB-4657-96BF-DE68E87AC61F}">
  <sheetPr codeName="Sheet7"/>
  <dimension ref="A1:F106"/>
  <sheetViews>
    <sheetView tabSelected="1" workbookViewId="0">
      <selection activeCell="H6" sqref="H6"/>
    </sheetView>
  </sheetViews>
  <sheetFormatPr defaultColWidth="8.88671875" defaultRowHeight="14.4" x14ac:dyDescent="0.3"/>
  <cols>
    <col min="1" max="1" width="10.5546875" style="11" bestFit="1" customWidth="1"/>
    <col min="2" max="5" width="9.109375" style="11"/>
    <col min="6" max="6" width="12.44140625" style="12" bestFit="1" customWidth="1"/>
    <col min="7" max="16384" width="8.88671875" style="11"/>
  </cols>
  <sheetData>
    <row r="1" spans="1:6" ht="43.2" x14ac:dyDescent="0.3">
      <c r="A1" s="1" t="s">
        <v>90</v>
      </c>
      <c r="B1" s="1" t="s">
        <v>6</v>
      </c>
      <c r="C1" s="1" t="s">
        <v>7</v>
      </c>
      <c r="D1" s="1" t="s">
        <v>5</v>
      </c>
      <c r="E1" s="1" t="s">
        <v>8</v>
      </c>
      <c r="F1" s="10" t="s">
        <v>91</v>
      </c>
    </row>
    <row r="2" spans="1:6" x14ac:dyDescent="0.3">
      <c r="A2" s="11" t="s">
        <v>76</v>
      </c>
      <c r="B2" s="11">
        <v>512</v>
      </c>
      <c r="D2" s="11">
        <v>16</v>
      </c>
      <c r="E2" s="11">
        <v>512</v>
      </c>
      <c r="F2" s="12">
        <v>6684.5408344925763</v>
      </c>
    </row>
    <row r="3" spans="1:6" x14ac:dyDescent="0.3">
      <c r="A3" s="11" t="s">
        <v>76</v>
      </c>
      <c r="B3" s="11">
        <v>512</v>
      </c>
      <c r="D3" s="11">
        <v>16</v>
      </c>
      <c r="E3" s="11">
        <v>256</v>
      </c>
      <c r="F3" s="12">
        <v>6498.1257516741598</v>
      </c>
    </row>
    <row r="4" spans="1:6" x14ac:dyDescent="0.3">
      <c r="A4" s="11" t="s">
        <v>76</v>
      </c>
      <c r="B4" s="11">
        <v>512</v>
      </c>
      <c r="D4" s="11">
        <v>16</v>
      </c>
      <c r="E4" s="11">
        <v>128</v>
      </c>
      <c r="F4" s="12">
        <v>6154.8396611056978</v>
      </c>
    </row>
    <row r="5" spans="1:6" x14ac:dyDescent="0.3">
      <c r="A5" s="11" t="s">
        <v>76</v>
      </c>
      <c r="B5" s="11">
        <v>512</v>
      </c>
      <c r="D5" s="11">
        <v>13</v>
      </c>
      <c r="E5" s="11">
        <v>128</v>
      </c>
      <c r="F5" s="12">
        <v>6152.5333649642907</v>
      </c>
    </row>
    <row r="6" spans="1:6" x14ac:dyDescent="0.3">
      <c r="A6" s="11" t="s">
        <v>76</v>
      </c>
      <c r="B6" s="11">
        <v>512</v>
      </c>
      <c r="D6" s="11">
        <v>13</v>
      </c>
      <c r="E6" s="11">
        <v>256</v>
      </c>
      <c r="F6" s="12">
        <v>6090.7505197759474</v>
      </c>
    </row>
    <row r="7" spans="1:6" x14ac:dyDescent="0.3">
      <c r="A7" s="11" t="s">
        <v>77</v>
      </c>
      <c r="B7" s="11">
        <v>512</v>
      </c>
      <c r="D7" s="11">
        <v>8</v>
      </c>
      <c r="E7" s="11">
        <v>512</v>
      </c>
      <c r="F7" s="12">
        <v>7725.1425850459527</v>
      </c>
    </row>
    <row r="8" spans="1:6" x14ac:dyDescent="0.3">
      <c r="A8" s="11" t="s">
        <v>77</v>
      </c>
      <c r="B8" s="11">
        <v>512</v>
      </c>
      <c r="D8" s="11">
        <v>10</v>
      </c>
      <c r="E8" s="11">
        <v>512</v>
      </c>
      <c r="F8" s="12">
        <v>7698.4780689019244</v>
      </c>
    </row>
    <row r="9" spans="1:6" x14ac:dyDescent="0.3">
      <c r="A9" s="11" t="s">
        <v>77</v>
      </c>
      <c r="B9" s="11">
        <v>512</v>
      </c>
      <c r="D9" s="11">
        <v>9</v>
      </c>
      <c r="E9" s="11">
        <v>512</v>
      </c>
      <c r="F9" s="12">
        <v>7652.1785275316397</v>
      </c>
    </row>
    <row r="10" spans="1:6" x14ac:dyDescent="0.3">
      <c r="A10" s="11" t="s">
        <v>77</v>
      </c>
      <c r="B10" s="11">
        <v>512</v>
      </c>
      <c r="D10" s="11">
        <v>8</v>
      </c>
      <c r="E10" s="11">
        <v>256</v>
      </c>
      <c r="F10" s="12">
        <v>7522.9947918184916</v>
      </c>
    </row>
    <row r="11" spans="1:6" x14ac:dyDescent="0.3">
      <c r="A11" s="11" t="s">
        <v>77</v>
      </c>
      <c r="B11" s="11">
        <v>512</v>
      </c>
      <c r="D11" s="11">
        <v>10</v>
      </c>
      <c r="E11" s="11">
        <v>256</v>
      </c>
      <c r="F11" s="12">
        <v>7443.2123829026514</v>
      </c>
    </row>
    <row r="12" spans="1:6" x14ac:dyDescent="0.3">
      <c r="A12" s="11" t="s">
        <v>93</v>
      </c>
      <c r="B12" s="11">
        <v>512</v>
      </c>
      <c r="D12" s="11">
        <v>6</v>
      </c>
      <c r="E12" s="11">
        <v>512</v>
      </c>
      <c r="F12" s="12">
        <v>8144.1315170870375</v>
      </c>
    </row>
    <row r="13" spans="1:6" x14ac:dyDescent="0.3">
      <c r="A13" s="11" t="s">
        <v>93</v>
      </c>
      <c r="B13" s="11">
        <v>512</v>
      </c>
      <c r="D13" s="11">
        <v>7</v>
      </c>
      <c r="E13" s="11">
        <v>512</v>
      </c>
      <c r="F13" s="12">
        <v>8127.4257247858595</v>
      </c>
    </row>
    <row r="14" spans="1:6" x14ac:dyDescent="0.3">
      <c r="A14" s="11" t="s">
        <v>93</v>
      </c>
      <c r="B14" s="11">
        <v>512</v>
      </c>
      <c r="D14" s="11">
        <v>6</v>
      </c>
      <c r="E14" s="11">
        <v>256</v>
      </c>
      <c r="F14" s="12">
        <v>7916.4111052036051</v>
      </c>
    </row>
    <row r="15" spans="1:6" x14ac:dyDescent="0.3">
      <c r="A15" s="11" t="s">
        <v>93</v>
      </c>
      <c r="B15" s="11">
        <v>512</v>
      </c>
      <c r="D15" s="11">
        <v>7</v>
      </c>
      <c r="E15" s="11">
        <v>256</v>
      </c>
      <c r="F15" s="12">
        <v>7857.8046548324392</v>
      </c>
    </row>
    <row r="16" spans="1:6" x14ac:dyDescent="0.3">
      <c r="A16" s="11" t="s">
        <v>93</v>
      </c>
      <c r="B16" s="11">
        <v>512</v>
      </c>
      <c r="D16" s="11">
        <v>6</v>
      </c>
      <c r="E16" s="11">
        <v>128</v>
      </c>
      <c r="F16" s="12">
        <v>7497.1510941094866</v>
      </c>
    </row>
    <row r="17" spans="1:6" x14ac:dyDescent="0.3">
      <c r="A17" s="11" t="s">
        <v>94</v>
      </c>
      <c r="B17" s="11">
        <v>512</v>
      </c>
      <c r="D17" s="11">
        <v>4</v>
      </c>
      <c r="E17" s="11">
        <v>512</v>
      </c>
      <c r="F17" s="12">
        <v>8435.3530849165818</v>
      </c>
    </row>
    <row r="18" spans="1:6" x14ac:dyDescent="0.3">
      <c r="A18" s="11" t="s">
        <v>94</v>
      </c>
      <c r="B18" s="11">
        <v>512</v>
      </c>
      <c r="D18" s="11">
        <v>5</v>
      </c>
      <c r="E18" s="11">
        <v>512</v>
      </c>
      <c r="F18" s="12">
        <v>8404.7752481719763</v>
      </c>
    </row>
    <row r="19" spans="1:6" x14ac:dyDescent="0.3">
      <c r="A19" s="11" t="s">
        <v>94</v>
      </c>
      <c r="B19" s="11">
        <v>512</v>
      </c>
      <c r="D19" s="11">
        <v>4</v>
      </c>
      <c r="E19" s="11">
        <v>256</v>
      </c>
      <c r="F19" s="12">
        <v>8244.4550555372807</v>
      </c>
    </row>
    <row r="20" spans="1:6" x14ac:dyDescent="0.3">
      <c r="A20" s="11" t="s">
        <v>94</v>
      </c>
      <c r="B20" s="11">
        <v>512</v>
      </c>
      <c r="D20" s="11">
        <v>5</v>
      </c>
      <c r="E20" s="11">
        <v>256</v>
      </c>
      <c r="F20" s="12">
        <v>8155.01962282564</v>
      </c>
    </row>
    <row r="21" spans="1:6" x14ac:dyDescent="0.3">
      <c r="A21" s="11" t="s">
        <v>94</v>
      </c>
      <c r="B21" s="11">
        <v>512</v>
      </c>
      <c r="D21" s="11">
        <v>4</v>
      </c>
      <c r="E21" s="11">
        <v>128</v>
      </c>
      <c r="F21" s="12">
        <v>7887.4575277054528</v>
      </c>
    </row>
    <row r="22" spans="1:6" x14ac:dyDescent="0.3">
      <c r="A22" s="11" t="s">
        <v>78</v>
      </c>
      <c r="B22" s="11">
        <v>256</v>
      </c>
      <c r="D22" s="11">
        <v>10</v>
      </c>
      <c r="E22" s="11">
        <v>512</v>
      </c>
      <c r="F22" s="12">
        <v>7804.4817871257574</v>
      </c>
    </row>
    <row r="23" spans="1:6" x14ac:dyDescent="0.3">
      <c r="A23" s="11" t="s">
        <v>78</v>
      </c>
      <c r="B23" s="11">
        <v>512</v>
      </c>
      <c r="D23" s="11">
        <v>16</v>
      </c>
      <c r="E23" s="11">
        <v>512</v>
      </c>
      <c r="F23" s="12">
        <v>7693.3945413084575</v>
      </c>
    </row>
    <row r="24" spans="1:6" x14ac:dyDescent="0.3">
      <c r="A24" s="11" t="s">
        <v>78</v>
      </c>
      <c r="B24" s="11">
        <v>256</v>
      </c>
      <c r="D24" s="11">
        <v>10</v>
      </c>
      <c r="E24" s="11">
        <v>256</v>
      </c>
      <c r="F24" s="12">
        <v>7670.0580264863247</v>
      </c>
    </row>
    <row r="25" spans="1:6" x14ac:dyDescent="0.3">
      <c r="A25" s="11" t="s">
        <v>78</v>
      </c>
      <c r="B25" s="11">
        <v>512</v>
      </c>
      <c r="D25" s="11">
        <v>16</v>
      </c>
      <c r="E25" s="11">
        <v>256</v>
      </c>
      <c r="F25" s="12">
        <v>7478.0615499025707</v>
      </c>
    </row>
    <row r="26" spans="1:6" x14ac:dyDescent="0.3">
      <c r="A26" s="11" t="s">
        <v>78</v>
      </c>
      <c r="B26" s="11">
        <v>256</v>
      </c>
      <c r="D26" s="11">
        <v>10</v>
      </c>
      <c r="E26" s="11">
        <v>128</v>
      </c>
      <c r="F26" s="12">
        <v>7414.6397213839691</v>
      </c>
    </row>
    <row r="27" spans="1:6" x14ac:dyDescent="0.3">
      <c r="A27" s="11" t="s">
        <v>79</v>
      </c>
      <c r="B27" s="11">
        <v>256</v>
      </c>
      <c r="D27" s="11">
        <v>5</v>
      </c>
      <c r="E27" s="11">
        <v>512</v>
      </c>
      <c r="F27" s="12">
        <v>8577.6027082356395</v>
      </c>
    </row>
    <row r="28" spans="1:6" x14ac:dyDescent="0.3">
      <c r="A28" s="11" t="s">
        <v>79</v>
      </c>
      <c r="B28" s="11">
        <v>512</v>
      </c>
      <c r="D28" s="11">
        <v>8</v>
      </c>
      <c r="E28" s="11">
        <v>512</v>
      </c>
      <c r="F28" s="12">
        <v>8508.3766296678823</v>
      </c>
    </row>
    <row r="29" spans="1:6" x14ac:dyDescent="0.3">
      <c r="A29" s="11" t="s">
        <v>79</v>
      </c>
      <c r="B29" s="11">
        <v>512</v>
      </c>
      <c r="D29" s="11">
        <v>10</v>
      </c>
      <c r="E29" s="11">
        <v>512</v>
      </c>
      <c r="F29" s="12">
        <v>8487.8181210190905</v>
      </c>
    </row>
    <row r="30" spans="1:6" x14ac:dyDescent="0.3">
      <c r="A30" s="11" t="s">
        <v>79</v>
      </c>
      <c r="B30" s="11">
        <v>256</v>
      </c>
      <c r="D30" s="11">
        <v>5</v>
      </c>
      <c r="E30" s="11">
        <v>256</v>
      </c>
      <c r="F30" s="12">
        <v>8445.6937423171967</v>
      </c>
    </row>
    <row r="31" spans="1:6" x14ac:dyDescent="0.3">
      <c r="A31" s="11" t="s">
        <v>79</v>
      </c>
      <c r="B31" s="11">
        <v>512</v>
      </c>
      <c r="D31" s="11">
        <v>9</v>
      </c>
      <c r="E31" s="11">
        <v>512</v>
      </c>
      <c r="F31" s="12">
        <v>8432.8684513659828</v>
      </c>
    </row>
    <row r="32" spans="1:6" x14ac:dyDescent="0.3">
      <c r="A32" s="11" t="s">
        <v>80</v>
      </c>
      <c r="B32" s="11">
        <v>512</v>
      </c>
      <c r="D32" s="11">
        <v>6</v>
      </c>
      <c r="E32" s="11">
        <v>512</v>
      </c>
      <c r="F32" s="12">
        <v>8886.0525336051724</v>
      </c>
    </row>
    <row r="33" spans="1:6" x14ac:dyDescent="0.3">
      <c r="A33" s="11" t="s">
        <v>80</v>
      </c>
      <c r="B33" s="11">
        <v>512</v>
      </c>
      <c r="D33" s="11">
        <v>7</v>
      </c>
      <c r="E33" s="11">
        <v>512</v>
      </c>
      <c r="F33" s="12">
        <v>8871.7101831492273</v>
      </c>
    </row>
    <row r="34" spans="1:6" x14ac:dyDescent="0.3">
      <c r="A34" s="11" t="s">
        <v>80</v>
      </c>
      <c r="B34" s="11">
        <v>512</v>
      </c>
      <c r="D34" s="11">
        <v>2</v>
      </c>
      <c r="E34" s="11">
        <v>128</v>
      </c>
      <c r="F34" s="12">
        <v>8658.0212153914581</v>
      </c>
    </row>
    <row r="35" spans="1:6" x14ac:dyDescent="0.3">
      <c r="A35" s="11" t="s">
        <v>80</v>
      </c>
      <c r="B35" s="11">
        <v>512</v>
      </c>
      <c r="D35" s="11">
        <v>6</v>
      </c>
      <c r="E35" s="11">
        <v>256</v>
      </c>
      <c r="F35" s="12">
        <v>8637.156350466661</v>
      </c>
    </row>
    <row r="36" spans="1:6" x14ac:dyDescent="0.3">
      <c r="A36" s="11" t="s">
        <v>80</v>
      </c>
      <c r="B36" s="11">
        <v>256</v>
      </c>
      <c r="D36" s="11">
        <v>2</v>
      </c>
      <c r="E36" s="11">
        <v>128</v>
      </c>
      <c r="F36" s="12">
        <v>8584.0145447626473</v>
      </c>
    </row>
    <row r="37" spans="1:6" x14ac:dyDescent="0.3">
      <c r="A37" s="11" t="s">
        <v>81</v>
      </c>
      <c r="B37" s="11">
        <v>512</v>
      </c>
      <c r="D37" s="11">
        <v>4</v>
      </c>
      <c r="E37" s="11">
        <v>512</v>
      </c>
      <c r="F37" s="12">
        <v>9173.7597556328201</v>
      </c>
    </row>
    <row r="38" spans="1:6" x14ac:dyDescent="0.3">
      <c r="A38" s="11" t="s">
        <v>81</v>
      </c>
      <c r="B38" s="11">
        <v>512</v>
      </c>
      <c r="D38" s="11">
        <v>5</v>
      </c>
      <c r="E38" s="11">
        <v>512</v>
      </c>
      <c r="F38" s="12">
        <v>9145.0856956045318</v>
      </c>
    </row>
    <row r="39" spans="1:6" x14ac:dyDescent="0.3">
      <c r="A39" s="11" t="s">
        <v>81</v>
      </c>
      <c r="B39" s="11">
        <v>128</v>
      </c>
      <c r="D39" s="11">
        <v>1</v>
      </c>
      <c r="E39" s="11">
        <v>128</v>
      </c>
      <c r="F39" s="12">
        <v>9111.2336722873843</v>
      </c>
    </row>
    <row r="40" spans="1:6" x14ac:dyDescent="0.3">
      <c r="A40" s="11" t="s">
        <v>81</v>
      </c>
      <c r="B40" s="11">
        <v>256</v>
      </c>
      <c r="D40" s="11">
        <v>1</v>
      </c>
      <c r="E40" s="11">
        <v>128</v>
      </c>
      <c r="F40" s="12">
        <v>9111.2336722873843</v>
      </c>
    </row>
    <row r="41" spans="1:6" x14ac:dyDescent="0.3">
      <c r="A41" s="11" t="s">
        <v>81</v>
      </c>
      <c r="B41" s="11">
        <v>512</v>
      </c>
      <c r="D41" s="11">
        <v>1</v>
      </c>
      <c r="E41" s="11">
        <v>128</v>
      </c>
      <c r="F41" s="12">
        <v>9085.9947978489145</v>
      </c>
    </row>
    <row r="42" spans="1:6" x14ac:dyDescent="0.3">
      <c r="A42" s="11" t="s">
        <v>71</v>
      </c>
      <c r="B42" s="11">
        <v>256</v>
      </c>
      <c r="D42" s="11">
        <v>10</v>
      </c>
      <c r="E42" s="11">
        <v>512</v>
      </c>
      <c r="F42" s="12">
        <v>8722.6561150229063</v>
      </c>
    </row>
    <row r="43" spans="1:6" x14ac:dyDescent="0.3">
      <c r="A43" s="11" t="s">
        <v>71</v>
      </c>
      <c r="B43" s="11">
        <v>512</v>
      </c>
      <c r="D43" s="11">
        <v>16</v>
      </c>
      <c r="E43" s="11">
        <v>512</v>
      </c>
      <c r="F43" s="12">
        <v>8598.499781462393</v>
      </c>
    </row>
    <row r="44" spans="1:6" x14ac:dyDescent="0.3">
      <c r="A44" s="11" t="s">
        <v>71</v>
      </c>
      <c r="B44" s="11">
        <v>256</v>
      </c>
      <c r="D44" s="11">
        <v>10</v>
      </c>
      <c r="E44" s="11">
        <v>256</v>
      </c>
      <c r="F44" s="12">
        <v>8572.4177943082468</v>
      </c>
    </row>
    <row r="45" spans="1:6" x14ac:dyDescent="0.3">
      <c r="A45" s="11" t="s">
        <v>71</v>
      </c>
      <c r="B45" s="11">
        <v>512</v>
      </c>
      <c r="D45" s="11">
        <v>16</v>
      </c>
      <c r="E45" s="11">
        <v>256</v>
      </c>
      <c r="F45" s="12">
        <v>8357.8334969499338</v>
      </c>
    </row>
    <row r="46" spans="1:6" x14ac:dyDescent="0.3">
      <c r="A46" s="11" t="s">
        <v>71</v>
      </c>
      <c r="B46" s="11">
        <v>256</v>
      </c>
      <c r="D46" s="11">
        <v>10</v>
      </c>
      <c r="E46" s="11">
        <v>128</v>
      </c>
      <c r="F46" s="12">
        <v>8286.9502768409075</v>
      </c>
    </row>
    <row r="47" spans="1:6" x14ac:dyDescent="0.3">
      <c r="A47" s="11" t="s">
        <v>72</v>
      </c>
      <c r="B47" s="11">
        <v>512</v>
      </c>
      <c r="D47" s="11">
        <v>16</v>
      </c>
      <c r="E47" s="11">
        <v>512</v>
      </c>
      <c r="F47" s="12">
        <v>7427.2675938806406</v>
      </c>
    </row>
    <row r="48" spans="1:6" x14ac:dyDescent="0.3">
      <c r="A48" s="11" t="s">
        <v>72</v>
      </c>
      <c r="B48" s="11">
        <v>512</v>
      </c>
      <c r="D48" s="11">
        <v>16</v>
      </c>
      <c r="E48" s="11">
        <v>256</v>
      </c>
      <c r="F48" s="12">
        <v>7220.1397240823999</v>
      </c>
    </row>
    <row r="49" spans="1:6" x14ac:dyDescent="0.3">
      <c r="A49" s="11" t="s">
        <v>72</v>
      </c>
      <c r="B49" s="11">
        <v>512</v>
      </c>
      <c r="D49" s="11">
        <v>16</v>
      </c>
      <c r="E49" s="11">
        <v>128</v>
      </c>
      <c r="F49" s="12">
        <v>6838.710734561887</v>
      </c>
    </row>
    <row r="50" spans="1:6" x14ac:dyDescent="0.3">
      <c r="A50" s="11" t="s">
        <v>72</v>
      </c>
      <c r="B50" s="11">
        <v>512</v>
      </c>
      <c r="D50" s="11">
        <v>13</v>
      </c>
      <c r="E50" s="11">
        <v>128</v>
      </c>
      <c r="F50" s="12">
        <v>6836.1481832936561</v>
      </c>
    </row>
    <row r="51" spans="1:6" x14ac:dyDescent="0.3">
      <c r="A51" s="11" t="s">
        <v>72</v>
      </c>
      <c r="B51" s="11">
        <v>512</v>
      </c>
      <c r="D51" s="11">
        <v>13</v>
      </c>
      <c r="E51" s="11">
        <v>256</v>
      </c>
      <c r="F51" s="12">
        <v>6767.50057752883</v>
      </c>
    </row>
    <row r="52" spans="1:6" x14ac:dyDescent="0.3">
      <c r="A52" s="11" t="s">
        <v>73</v>
      </c>
      <c r="B52" s="11">
        <v>256</v>
      </c>
      <c r="D52" s="11">
        <v>10</v>
      </c>
      <c r="E52" s="11">
        <v>512</v>
      </c>
      <c r="F52" s="12">
        <v>7574.9382051514704</v>
      </c>
    </row>
    <row r="53" spans="1:6" x14ac:dyDescent="0.3">
      <c r="A53" s="11" t="s">
        <v>73</v>
      </c>
      <c r="B53" s="11">
        <v>512</v>
      </c>
      <c r="D53" s="11">
        <v>16</v>
      </c>
      <c r="E53" s="11">
        <v>512</v>
      </c>
      <c r="F53" s="12">
        <v>7467.1182312699739</v>
      </c>
    </row>
    <row r="54" spans="1:6" x14ac:dyDescent="0.3">
      <c r="A54" s="11" t="s">
        <v>73</v>
      </c>
      <c r="B54" s="11">
        <v>256</v>
      </c>
      <c r="D54" s="11">
        <v>10</v>
      </c>
      <c r="E54" s="11">
        <v>256</v>
      </c>
      <c r="F54" s="12">
        <v>7444.4680845308458</v>
      </c>
    </row>
    <row r="55" spans="1:6" x14ac:dyDescent="0.3">
      <c r="A55" s="11" t="s">
        <v>73</v>
      </c>
      <c r="B55" s="11">
        <v>512</v>
      </c>
      <c r="D55" s="11">
        <v>16</v>
      </c>
      <c r="E55" s="11">
        <v>256</v>
      </c>
      <c r="F55" s="12">
        <v>7258.1185631407325</v>
      </c>
    </row>
    <row r="56" spans="1:6" x14ac:dyDescent="0.3">
      <c r="A56" s="11" t="s">
        <v>73</v>
      </c>
      <c r="B56" s="11">
        <v>256</v>
      </c>
      <c r="D56" s="11">
        <v>10</v>
      </c>
      <c r="E56" s="11">
        <v>128</v>
      </c>
      <c r="F56" s="12">
        <v>7196.5620825197357</v>
      </c>
    </row>
    <row r="57" spans="1:6" x14ac:dyDescent="0.3">
      <c r="A57" s="11" t="s">
        <v>74</v>
      </c>
      <c r="B57" s="11">
        <v>512</v>
      </c>
      <c r="D57" s="11">
        <v>8</v>
      </c>
      <c r="E57" s="11">
        <v>512</v>
      </c>
      <c r="F57" s="12">
        <v>6474.3040826335782</v>
      </c>
    </row>
    <row r="58" spans="1:6" x14ac:dyDescent="0.3">
      <c r="A58" s="11" t="s">
        <v>74</v>
      </c>
      <c r="B58" s="11">
        <v>512</v>
      </c>
      <c r="D58" s="11">
        <v>10</v>
      </c>
      <c r="E58" s="11">
        <v>512</v>
      </c>
      <c r="F58" s="12">
        <v>6458.6604361107347</v>
      </c>
    </row>
    <row r="59" spans="1:6" x14ac:dyDescent="0.3">
      <c r="A59" s="11" t="s">
        <v>74</v>
      </c>
      <c r="B59" s="11">
        <v>512</v>
      </c>
      <c r="D59" s="11">
        <v>9</v>
      </c>
      <c r="E59" s="11">
        <v>512</v>
      </c>
      <c r="F59" s="12">
        <v>6416.8474221764473</v>
      </c>
    </row>
    <row r="60" spans="1:6" x14ac:dyDescent="0.3">
      <c r="A60" s="11" t="s">
        <v>74</v>
      </c>
      <c r="B60" s="11">
        <v>512</v>
      </c>
      <c r="D60" s="11">
        <v>8</v>
      </c>
      <c r="E60" s="11">
        <v>256</v>
      </c>
      <c r="F60" s="12">
        <v>6304.4967692555392</v>
      </c>
    </row>
    <row r="61" spans="1:6" x14ac:dyDescent="0.3">
      <c r="A61" s="11" t="s">
        <v>74</v>
      </c>
      <c r="B61" s="11">
        <v>512</v>
      </c>
      <c r="D61" s="11">
        <v>10</v>
      </c>
      <c r="E61" s="11">
        <v>256</v>
      </c>
      <c r="F61" s="12">
        <v>6244.0117503841429</v>
      </c>
    </row>
    <row r="62" spans="1:6" x14ac:dyDescent="0.3">
      <c r="A62" s="11" t="s">
        <v>82</v>
      </c>
      <c r="B62" s="11">
        <v>32</v>
      </c>
      <c r="C62" s="11">
        <v>32</v>
      </c>
      <c r="D62" s="11">
        <v>6</v>
      </c>
      <c r="E62" s="11">
        <v>128</v>
      </c>
      <c r="F62" s="12">
        <v>2823.3286263709847</v>
      </c>
    </row>
    <row r="63" spans="1:6" x14ac:dyDescent="0.3">
      <c r="A63" s="11" t="s">
        <v>82</v>
      </c>
      <c r="B63" s="11">
        <v>32</v>
      </c>
      <c r="C63" s="11">
        <v>32</v>
      </c>
      <c r="D63" s="11">
        <v>6</v>
      </c>
      <c r="E63" s="11">
        <v>256</v>
      </c>
      <c r="F63" s="12">
        <v>2802.486252341359</v>
      </c>
    </row>
    <row r="64" spans="1:6" x14ac:dyDescent="0.3">
      <c r="A64" s="11" t="s">
        <v>82</v>
      </c>
      <c r="B64" s="11">
        <v>32</v>
      </c>
      <c r="C64" s="11">
        <v>32</v>
      </c>
      <c r="D64" s="11">
        <v>7</v>
      </c>
      <c r="E64" s="11">
        <v>256</v>
      </c>
      <c r="F64" s="12">
        <v>2794.645061887526</v>
      </c>
    </row>
    <row r="65" spans="1:6" x14ac:dyDescent="0.3">
      <c r="A65" s="11" t="s">
        <v>82</v>
      </c>
      <c r="B65" s="11">
        <v>32</v>
      </c>
      <c r="C65" s="11">
        <v>32</v>
      </c>
      <c r="D65" s="11">
        <v>7</v>
      </c>
      <c r="E65" s="11">
        <v>128</v>
      </c>
      <c r="F65" s="12">
        <v>2787.5353532936961</v>
      </c>
    </row>
    <row r="66" spans="1:6" x14ac:dyDescent="0.3">
      <c r="A66" s="11" t="s">
        <v>82</v>
      </c>
      <c r="B66" s="11">
        <v>32</v>
      </c>
      <c r="C66" s="11">
        <v>32</v>
      </c>
      <c r="D66" s="11">
        <v>5</v>
      </c>
      <c r="E66" s="11">
        <v>128</v>
      </c>
      <c r="F66" s="12">
        <v>2682.1967111109384</v>
      </c>
    </row>
    <row r="67" spans="1:6" x14ac:dyDescent="0.3">
      <c r="A67" s="11" t="s">
        <v>83</v>
      </c>
      <c r="B67" s="11">
        <v>32</v>
      </c>
      <c r="C67" s="11">
        <v>32</v>
      </c>
      <c r="D67" s="11">
        <v>3</v>
      </c>
      <c r="E67" s="11">
        <v>128</v>
      </c>
      <c r="F67" s="12">
        <v>2944.4318582245623</v>
      </c>
    </row>
    <row r="68" spans="1:6" x14ac:dyDescent="0.3">
      <c r="A68" s="11" t="s">
        <v>83</v>
      </c>
      <c r="B68" s="11">
        <v>32</v>
      </c>
      <c r="C68" s="11">
        <v>32</v>
      </c>
      <c r="D68" s="11">
        <v>3</v>
      </c>
      <c r="E68" s="11">
        <v>256</v>
      </c>
      <c r="F68" s="12">
        <v>2876.0136026222358</v>
      </c>
    </row>
    <row r="69" spans="1:6" x14ac:dyDescent="0.3">
      <c r="A69" s="11" t="s">
        <v>83</v>
      </c>
      <c r="B69" s="11">
        <v>32</v>
      </c>
      <c r="C69" s="11">
        <v>32</v>
      </c>
      <c r="D69" s="11">
        <v>4</v>
      </c>
      <c r="E69" s="11">
        <v>128</v>
      </c>
      <c r="F69" s="12">
        <v>2804.9257313156545</v>
      </c>
    </row>
    <row r="70" spans="1:6" x14ac:dyDescent="0.3">
      <c r="A70" s="11" t="s">
        <v>83</v>
      </c>
      <c r="B70" s="11">
        <v>32</v>
      </c>
      <c r="C70" s="11">
        <v>32</v>
      </c>
      <c r="D70" s="11">
        <v>4</v>
      </c>
      <c r="E70" s="11">
        <v>256</v>
      </c>
      <c r="F70" s="12">
        <v>2796.1024754142422</v>
      </c>
    </row>
    <row r="71" spans="1:6" x14ac:dyDescent="0.3">
      <c r="A71" s="11" t="s">
        <v>83</v>
      </c>
      <c r="B71" s="11">
        <v>32</v>
      </c>
      <c r="C71" s="11">
        <v>32</v>
      </c>
      <c r="D71" s="11">
        <v>2</v>
      </c>
      <c r="E71" s="11">
        <v>128</v>
      </c>
      <c r="F71" s="12">
        <v>2512.3008978616035</v>
      </c>
    </row>
    <row r="72" spans="1:6" x14ac:dyDescent="0.3">
      <c r="A72" s="11" t="s">
        <v>84</v>
      </c>
      <c r="B72" s="11">
        <v>32</v>
      </c>
      <c r="C72" s="11">
        <v>32</v>
      </c>
      <c r="D72" s="11">
        <v>2</v>
      </c>
      <c r="E72" s="11">
        <v>128</v>
      </c>
      <c r="F72" s="12">
        <v>3116.5700575800574</v>
      </c>
    </row>
    <row r="73" spans="1:6" x14ac:dyDescent="0.3">
      <c r="A73" s="11" t="s">
        <v>84</v>
      </c>
      <c r="B73" s="11">
        <v>32</v>
      </c>
      <c r="C73" s="11">
        <v>32</v>
      </c>
      <c r="D73" s="11">
        <v>2</v>
      </c>
      <c r="E73" s="11">
        <v>256</v>
      </c>
      <c r="F73" s="12">
        <v>3027.4099797460717</v>
      </c>
    </row>
    <row r="74" spans="1:6" x14ac:dyDescent="0.3">
      <c r="A74" s="11" t="s">
        <v>84</v>
      </c>
      <c r="B74" s="11">
        <v>32</v>
      </c>
      <c r="C74" s="11">
        <v>32</v>
      </c>
      <c r="D74" s="11">
        <v>3</v>
      </c>
      <c r="E74" s="11">
        <v>128</v>
      </c>
      <c r="F74" s="12">
        <v>2592.8201128246942</v>
      </c>
    </row>
    <row r="75" spans="1:6" x14ac:dyDescent="0.3">
      <c r="A75" s="11" t="s">
        <v>84</v>
      </c>
      <c r="B75" s="11">
        <v>32</v>
      </c>
      <c r="C75" s="11">
        <v>32</v>
      </c>
      <c r="D75" s="11">
        <v>3</v>
      </c>
      <c r="E75" s="11">
        <v>256</v>
      </c>
      <c r="F75" s="12">
        <v>2588.5639367873732</v>
      </c>
    </row>
    <row r="76" spans="1:6" x14ac:dyDescent="0.3">
      <c r="A76" s="11" t="s">
        <v>84</v>
      </c>
      <c r="B76" s="11">
        <v>64</v>
      </c>
      <c r="C76" s="11">
        <v>16</v>
      </c>
      <c r="D76" s="11">
        <v>1</v>
      </c>
      <c r="E76" s="11">
        <v>128</v>
      </c>
      <c r="F76" s="12">
        <v>2204.0723046435833</v>
      </c>
    </row>
    <row r="77" spans="1:6" x14ac:dyDescent="0.3">
      <c r="A77" s="11" t="s">
        <v>85</v>
      </c>
      <c r="B77" s="11">
        <v>32</v>
      </c>
      <c r="C77" s="11">
        <v>32</v>
      </c>
      <c r="D77" s="11">
        <v>2</v>
      </c>
      <c r="E77" s="11">
        <v>128</v>
      </c>
      <c r="F77" s="12">
        <v>3115.9929209075458</v>
      </c>
    </row>
    <row r="78" spans="1:6" x14ac:dyDescent="0.3">
      <c r="A78" s="11" t="s">
        <v>85</v>
      </c>
      <c r="B78" s="11">
        <v>32</v>
      </c>
      <c r="C78" s="11">
        <v>32</v>
      </c>
      <c r="D78" s="11">
        <v>2</v>
      </c>
      <c r="E78" s="11">
        <v>256</v>
      </c>
      <c r="F78" s="12">
        <v>3068.8660651553464</v>
      </c>
    </row>
    <row r="79" spans="1:6" x14ac:dyDescent="0.3">
      <c r="A79" s="11" t="s">
        <v>85</v>
      </c>
      <c r="B79" s="11">
        <v>32</v>
      </c>
      <c r="C79" s="11">
        <v>32</v>
      </c>
      <c r="D79" s="11">
        <v>1</v>
      </c>
      <c r="E79" s="11">
        <v>128</v>
      </c>
      <c r="F79" s="12">
        <v>2838.192283958716</v>
      </c>
    </row>
    <row r="80" spans="1:6" x14ac:dyDescent="0.3">
      <c r="A80" s="11" t="s">
        <v>85</v>
      </c>
      <c r="B80" s="11">
        <v>64</v>
      </c>
      <c r="C80" s="11">
        <v>16</v>
      </c>
      <c r="D80" s="11">
        <v>1</v>
      </c>
      <c r="E80" s="11">
        <v>128</v>
      </c>
      <c r="F80" s="12">
        <v>2823.8230076647587</v>
      </c>
    </row>
    <row r="81" spans="1:6" x14ac:dyDescent="0.3">
      <c r="A81" s="11" t="s">
        <v>85</v>
      </c>
      <c r="B81" s="11">
        <v>64</v>
      </c>
      <c r="C81" s="11">
        <v>16</v>
      </c>
      <c r="D81" s="11">
        <v>1</v>
      </c>
      <c r="E81" s="11">
        <v>256</v>
      </c>
      <c r="F81" s="12">
        <v>2717.5203386710832</v>
      </c>
    </row>
    <row r="82" spans="1:6" x14ac:dyDescent="0.3">
      <c r="A82" s="11" t="s">
        <v>86</v>
      </c>
      <c r="B82" s="11">
        <v>32</v>
      </c>
      <c r="C82" s="11">
        <v>32</v>
      </c>
      <c r="D82" s="11">
        <v>3</v>
      </c>
      <c r="E82" s="11">
        <v>128</v>
      </c>
      <c r="F82" s="12">
        <v>8029.5268184062297</v>
      </c>
    </row>
    <row r="83" spans="1:6" x14ac:dyDescent="0.3">
      <c r="A83" s="11" t="s">
        <v>86</v>
      </c>
      <c r="B83" s="11">
        <v>32</v>
      </c>
      <c r="C83" s="11">
        <v>32</v>
      </c>
      <c r="D83" s="11">
        <v>3</v>
      </c>
      <c r="E83" s="11">
        <v>256</v>
      </c>
      <c r="F83" s="12">
        <v>7590.2269742030421</v>
      </c>
    </row>
    <row r="84" spans="1:6" x14ac:dyDescent="0.3">
      <c r="A84" s="11" t="s">
        <v>86</v>
      </c>
      <c r="B84" s="11">
        <v>64</v>
      </c>
      <c r="C84" s="11">
        <v>16</v>
      </c>
      <c r="D84" s="11">
        <v>3</v>
      </c>
      <c r="E84" s="11">
        <v>128</v>
      </c>
      <c r="F84" s="12">
        <v>7482.9505204372535</v>
      </c>
    </row>
    <row r="85" spans="1:6" x14ac:dyDescent="0.3">
      <c r="A85" s="11" t="s">
        <v>86</v>
      </c>
      <c r="B85" s="11">
        <v>32</v>
      </c>
      <c r="C85" s="11">
        <v>32</v>
      </c>
      <c r="D85" s="11">
        <v>4</v>
      </c>
      <c r="E85" s="11">
        <v>128</v>
      </c>
      <c r="F85" s="12">
        <v>7199.073348768613</v>
      </c>
    </row>
    <row r="86" spans="1:6" x14ac:dyDescent="0.3">
      <c r="A86" s="11" t="s">
        <v>86</v>
      </c>
      <c r="B86" s="11">
        <v>64</v>
      </c>
      <c r="C86" s="11">
        <v>16</v>
      </c>
      <c r="D86" s="11">
        <v>3</v>
      </c>
      <c r="E86" s="11">
        <v>256</v>
      </c>
      <c r="F86" s="12">
        <v>7128.0108489204249</v>
      </c>
    </row>
    <row r="87" spans="1:6" x14ac:dyDescent="0.3">
      <c r="A87" s="11" t="s">
        <v>87</v>
      </c>
      <c r="B87" s="11">
        <v>16</v>
      </c>
      <c r="C87" s="11">
        <v>16</v>
      </c>
      <c r="D87" s="11">
        <v>1</v>
      </c>
      <c r="E87" s="11">
        <v>128</v>
      </c>
      <c r="F87" s="12">
        <v>9561.6022532582538</v>
      </c>
    </row>
    <row r="88" spans="1:6" x14ac:dyDescent="0.3">
      <c r="A88" s="11" t="s">
        <v>87</v>
      </c>
      <c r="B88" s="11">
        <v>32</v>
      </c>
      <c r="C88" s="11">
        <v>16</v>
      </c>
      <c r="D88" s="11">
        <v>1</v>
      </c>
      <c r="E88" s="11">
        <v>128</v>
      </c>
      <c r="F88" s="12">
        <v>9481.9222344811024</v>
      </c>
    </row>
    <row r="89" spans="1:6" x14ac:dyDescent="0.3">
      <c r="A89" s="11" t="s">
        <v>87</v>
      </c>
      <c r="B89" s="11">
        <v>64</v>
      </c>
      <c r="C89" s="11">
        <v>16</v>
      </c>
      <c r="D89" s="11">
        <v>1</v>
      </c>
      <c r="E89" s="11">
        <v>128</v>
      </c>
      <c r="F89" s="12">
        <v>9433.5450802235446</v>
      </c>
    </row>
    <row r="90" spans="1:6" x14ac:dyDescent="0.3">
      <c r="A90" s="11" t="s">
        <v>87</v>
      </c>
      <c r="B90" s="11">
        <v>32</v>
      </c>
      <c r="C90" s="11">
        <v>32</v>
      </c>
      <c r="D90" s="11">
        <v>1</v>
      </c>
      <c r="E90" s="11">
        <v>128</v>
      </c>
      <c r="F90" s="12">
        <v>9377.7252868494415</v>
      </c>
    </row>
    <row r="91" spans="1:6" x14ac:dyDescent="0.3">
      <c r="A91" s="11" t="s">
        <v>87</v>
      </c>
      <c r="B91" s="11">
        <v>16</v>
      </c>
      <c r="C91" s="11">
        <v>16</v>
      </c>
      <c r="D91" s="11">
        <v>1</v>
      </c>
      <c r="E91" s="11">
        <v>256</v>
      </c>
      <c r="F91" s="12">
        <v>9030.4021280772395</v>
      </c>
    </row>
    <row r="92" spans="1:6" x14ac:dyDescent="0.3">
      <c r="A92" s="11" t="s">
        <v>88</v>
      </c>
      <c r="B92" s="11">
        <v>16</v>
      </c>
      <c r="C92" s="11">
        <v>16</v>
      </c>
      <c r="D92" s="11">
        <v>1</v>
      </c>
      <c r="E92" s="11">
        <v>128</v>
      </c>
      <c r="F92" s="12">
        <v>9878.8478166189125</v>
      </c>
    </row>
    <row r="93" spans="1:6" x14ac:dyDescent="0.3">
      <c r="A93" s="11" t="s">
        <v>88</v>
      </c>
      <c r="B93" s="11">
        <v>32</v>
      </c>
      <c r="C93" s="11">
        <v>16</v>
      </c>
      <c r="D93" s="11">
        <v>1</v>
      </c>
      <c r="E93" s="11">
        <v>128</v>
      </c>
      <c r="F93" s="12">
        <v>9748.8629769265553</v>
      </c>
    </row>
    <row r="94" spans="1:6" x14ac:dyDescent="0.3">
      <c r="A94" s="11" t="s">
        <v>88</v>
      </c>
      <c r="B94" s="11">
        <v>64</v>
      </c>
      <c r="C94" s="11">
        <v>16</v>
      </c>
      <c r="D94" s="11">
        <v>1</v>
      </c>
      <c r="E94" s="11">
        <v>128</v>
      </c>
      <c r="F94" s="12">
        <v>9685.1449182538345</v>
      </c>
    </row>
    <row r="95" spans="1:6" x14ac:dyDescent="0.3">
      <c r="A95" s="11" t="s">
        <v>88</v>
      </c>
      <c r="B95" s="11">
        <v>32</v>
      </c>
      <c r="C95" s="11">
        <v>32</v>
      </c>
      <c r="D95" s="11">
        <v>1</v>
      </c>
      <c r="E95" s="11">
        <v>128</v>
      </c>
      <c r="F95" s="12">
        <v>9604.4353772683862</v>
      </c>
    </row>
    <row r="96" spans="1:6" x14ac:dyDescent="0.3">
      <c r="A96" s="11" t="s">
        <v>88</v>
      </c>
      <c r="B96" s="11">
        <v>16</v>
      </c>
      <c r="C96" s="11">
        <v>16</v>
      </c>
      <c r="D96" s="11">
        <v>1</v>
      </c>
      <c r="E96" s="11">
        <v>256</v>
      </c>
      <c r="F96" s="12">
        <v>9498.8921313643368</v>
      </c>
    </row>
    <row r="97" spans="1:6" x14ac:dyDescent="0.3">
      <c r="A97" s="11" t="s">
        <v>89</v>
      </c>
      <c r="B97" s="11">
        <v>16</v>
      </c>
      <c r="C97" s="11">
        <v>16</v>
      </c>
      <c r="D97" s="11">
        <v>1</v>
      </c>
      <c r="E97" s="11">
        <v>128</v>
      </c>
      <c r="F97" s="12">
        <v>10045.907485231188</v>
      </c>
    </row>
    <row r="98" spans="1:6" x14ac:dyDescent="0.3">
      <c r="A98" s="11" t="s">
        <v>89</v>
      </c>
      <c r="B98" s="11">
        <v>32</v>
      </c>
      <c r="C98" s="11">
        <v>16</v>
      </c>
      <c r="D98" s="11">
        <v>1</v>
      </c>
      <c r="E98" s="11">
        <v>128</v>
      </c>
      <c r="F98" s="12">
        <v>9927.8466066654364</v>
      </c>
    </row>
    <row r="99" spans="1:6" x14ac:dyDescent="0.3">
      <c r="A99" s="11" t="s">
        <v>89</v>
      </c>
      <c r="B99" s="11">
        <v>64</v>
      </c>
      <c r="C99" s="11">
        <v>16</v>
      </c>
      <c r="D99" s="11">
        <v>1</v>
      </c>
      <c r="E99" s="11">
        <v>128</v>
      </c>
      <c r="F99" s="12">
        <v>9876.0491461089205</v>
      </c>
    </row>
    <row r="100" spans="1:6" x14ac:dyDescent="0.3">
      <c r="A100" s="11" t="s">
        <v>89</v>
      </c>
      <c r="B100" s="11">
        <v>16</v>
      </c>
      <c r="C100" s="11">
        <v>16</v>
      </c>
      <c r="D100" s="11">
        <v>1</v>
      </c>
      <c r="E100" s="11">
        <v>256</v>
      </c>
      <c r="F100" s="12">
        <v>9781.5414987777331</v>
      </c>
    </row>
    <row r="101" spans="1:6" x14ac:dyDescent="0.3">
      <c r="A101" s="11" t="s">
        <v>89</v>
      </c>
      <c r="B101" s="11">
        <v>32</v>
      </c>
      <c r="C101" s="11">
        <v>32</v>
      </c>
      <c r="D101" s="11">
        <v>1</v>
      </c>
      <c r="E101" s="11">
        <v>128</v>
      </c>
      <c r="F101" s="12">
        <v>9751.3515558802701</v>
      </c>
    </row>
    <row r="102" spans="1:6" x14ac:dyDescent="0.3">
      <c r="A102" s="11" t="s">
        <v>75</v>
      </c>
      <c r="B102" s="11">
        <v>32</v>
      </c>
      <c r="C102" s="11">
        <v>32</v>
      </c>
      <c r="D102" s="11">
        <v>3</v>
      </c>
      <c r="E102" s="11">
        <v>128</v>
      </c>
      <c r="F102" s="12">
        <v>7908.3264136000953</v>
      </c>
    </row>
    <row r="103" spans="1:6" x14ac:dyDescent="0.3">
      <c r="A103" s="11" t="s">
        <v>75</v>
      </c>
      <c r="B103" s="11">
        <v>32</v>
      </c>
      <c r="C103" s="11">
        <v>32</v>
      </c>
      <c r="D103" s="11">
        <v>3</v>
      </c>
      <c r="E103" s="11">
        <v>256</v>
      </c>
      <c r="F103" s="12">
        <v>7475.6575104414842</v>
      </c>
    </row>
    <row r="104" spans="1:6" x14ac:dyDescent="0.3">
      <c r="A104" s="11" t="s">
        <v>75</v>
      </c>
      <c r="B104" s="11">
        <v>64</v>
      </c>
      <c r="C104" s="11">
        <v>16</v>
      </c>
      <c r="D104" s="11">
        <v>3</v>
      </c>
      <c r="E104" s="11">
        <v>128</v>
      </c>
      <c r="F104" s="12">
        <v>7370.0003239023508</v>
      </c>
    </row>
    <row r="105" spans="1:6" x14ac:dyDescent="0.3">
      <c r="A105" s="11" t="s">
        <v>75</v>
      </c>
      <c r="B105" s="11">
        <v>32</v>
      </c>
      <c r="C105" s="11">
        <v>32</v>
      </c>
      <c r="D105" s="11">
        <v>4</v>
      </c>
      <c r="E105" s="11">
        <v>128</v>
      </c>
      <c r="F105" s="12">
        <v>7090.408090673991</v>
      </c>
    </row>
    <row r="106" spans="1:6" x14ac:dyDescent="0.3">
      <c r="A106" s="11" t="s">
        <v>75</v>
      </c>
      <c r="B106" s="11">
        <v>64</v>
      </c>
      <c r="C106" s="11">
        <v>16</v>
      </c>
      <c r="D106" s="11">
        <v>3</v>
      </c>
      <c r="E106" s="11">
        <v>256</v>
      </c>
      <c r="F106" s="12">
        <v>7020.418232332946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D6C92-821C-4F6E-9583-2591A070174F}">
  <sheetPr codeName="Sheet8"/>
  <dimension ref="A1:F106"/>
  <sheetViews>
    <sheetView workbookViewId="0">
      <selection activeCell="J38" sqref="J38"/>
    </sheetView>
  </sheetViews>
  <sheetFormatPr defaultColWidth="8.88671875" defaultRowHeight="14.4" x14ac:dyDescent="0.3"/>
  <cols>
    <col min="1" max="1" width="10.5546875" style="11" bestFit="1" customWidth="1"/>
    <col min="2" max="5" width="9.109375" style="11"/>
    <col min="6" max="6" width="12.44140625" style="12" bestFit="1" customWidth="1"/>
    <col min="7" max="16384" width="8.88671875" style="11"/>
  </cols>
  <sheetData>
    <row r="1" spans="1:6" ht="43.2" x14ac:dyDescent="0.3">
      <c r="A1" s="1" t="s">
        <v>90</v>
      </c>
      <c r="B1" s="1" t="s">
        <v>6</v>
      </c>
      <c r="C1" s="1" t="s">
        <v>7</v>
      </c>
      <c r="D1" s="1" t="s">
        <v>5</v>
      </c>
      <c r="E1" s="1" t="s">
        <v>8</v>
      </c>
      <c r="F1" s="10" t="s">
        <v>92</v>
      </c>
    </row>
    <row r="2" spans="1:6" x14ac:dyDescent="0.3">
      <c r="A2" s="11" t="s">
        <v>76</v>
      </c>
      <c r="B2" s="11">
        <v>512</v>
      </c>
      <c r="D2" s="11">
        <v>13</v>
      </c>
      <c r="E2" s="11">
        <v>128</v>
      </c>
      <c r="F2" s="12">
        <v>3218.9800852777084</v>
      </c>
    </row>
    <row r="3" spans="1:6" x14ac:dyDescent="0.3">
      <c r="A3" s="11" t="s">
        <v>76</v>
      </c>
      <c r="B3" s="11">
        <v>512</v>
      </c>
      <c r="D3" s="11">
        <v>13</v>
      </c>
      <c r="E3" s="11">
        <v>256</v>
      </c>
      <c r="F3" s="12">
        <v>3186.6555554497872</v>
      </c>
    </row>
    <row r="4" spans="1:6" x14ac:dyDescent="0.3">
      <c r="A4" s="11" t="s">
        <v>76</v>
      </c>
      <c r="B4" s="11">
        <v>512</v>
      </c>
      <c r="D4" s="11">
        <v>14</v>
      </c>
      <c r="E4" s="11">
        <v>128</v>
      </c>
      <c r="F4" s="12">
        <v>3175.2844838489882</v>
      </c>
    </row>
    <row r="5" spans="1:6" x14ac:dyDescent="0.3">
      <c r="A5" s="11" t="s">
        <v>76</v>
      </c>
      <c r="B5" s="11">
        <v>512</v>
      </c>
      <c r="D5" s="11">
        <v>14</v>
      </c>
      <c r="E5" s="11">
        <v>256</v>
      </c>
      <c r="F5" s="12">
        <v>3154.111585088177</v>
      </c>
    </row>
    <row r="6" spans="1:6" x14ac:dyDescent="0.3">
      <c r="A6" s="11" t="s">
        <v>76</v>
      </c>
      <c r="B6" s="11">
        <v>128</v>
      </c>
      <c r="D6" s="11">
        <v>15</v>
      </c>
      <c r="E6" s="11">
        <v>1024</v>
      </c>
      <c r="F6" s="12">
        <v>3118.1829523370288</v>
      </c>
    </row>
    <row r="7" spans="1:6" x14ac:dyDescent="0.3">
      <c r="A7" s="11" t="s">
        <v>77</v>
      </c>
      <c r="B7" s="11">
        <v>512</v>
      </c>
      <c r="D7" s="11">
        <v>8</v>
      </c>
      <c r="E7" s="11">
        <v>512</v>
      </c>
      <c r="F7" s="12">
        <v>4041.7627442379594</v>
      </c>
    </row>
    <row r="8" spans="1:6" x14ac:dyDescent="0.3">
      <c r="A8" s="11" t="s">
        <v>77</v>
      </c>
      <c r="B8" s="11">
        <v>512</v>
      </c>
      <c r="D8" s="11">
        <v>8</v>
      </c>
      <c r="E8" s="11">
        <v>256</v>
      </c>
      <c r="F8" s="12">
        <v>3935.9998524204993</v>
      </c>
    </row>
    <row r="9" spans="1:6" x14ac:dyDescent="0.3">
      <c r="A9" s="11" t="s">
        <v>77</v>
      </c>
      <c r="B9" s="11">
        <v>512</v>
      </c>
      <c r="D9" s="11">
        <v>8</v>
      </c>
      <c r="E9" s="11">
        <v>128</v>
      </c>
      <c r="F9" s="12">
        <v>3740.2535615883212</v>
      </c>
    </row>
    <row r="10" spans="1:6" x14ac:dyDescent="0.3">
      <c r="A10" s="11" t="s">
        <v>77</v>
      </c>
      <c r="B10" s="11">
        <v>256</v>
      </c>
      <c r="D10" s="11">
        <v>15</v>
      </c>
      <c r="E10" s="11">
        <v>1024</v>
      </c>
      <c r="F10" s="12">
        <v>3570.7037076423594</v>
      </c>
    </row>
    <row r="11" spans="1:6" x14ac:dyDescent="0.3">
      <c r="A11" s="11" t="s">
        <v>77</v>
      </c>
      <c r="B11" s="11">
        <v>512</v>
      </c>
      <c r="D11" s="11">
        <v>7</v>
      </c>
      <c r="E11" s="11">
        <v>128</v>
      </c>
      <c r="F11" s="12">
        <v>3510.4862351832035</v>
      </c>
    </row>
    <row r="12" spans="1:6" x14ac:dyDescent="0.3">
      <c r="A12" s="11" t="s">
        <v>93</v>
      </c>
      <c r="B12" s="11">
        <v>512</v>
      </c>
      <c r="D12" s="11">
        <v>6</v>
      </c>
      <c r="E12" s="11">
        <v>512</v>
      </c>
      <c r="F12" s="12">
        <v>4260.9760256924446</v>
      </c>
    </row>
    <row r="13" spans="1:6" x14ac:dyDescent="0.3">
      <c r="A13" s="11" t="s">
        <v>93</v>
      </c>
      <c r="B13" s="11">
        <v>512</v>
      </c>
      <c r="D13" s="11">
        <v>6</v>
      </c>
      <c r="E13" s="11">
        <v>256</v>
      </c>
      <c r="F13" s="12">
        <v>4141.8336452482781</v>
      </c>
    </row>
    <row r="14" spans="1:6" x14ac:dyDescent="0.3">
      <c r="A14" s="11" t="s">
        <v>93</v>
      </c>
      <c r="B14" s="11">
        <v>512</v>
      </c>
      <c r="D14" s="11">
        <v>6</v>
      </c>
      <c r="E14" s="11">
        <v>128</v>
      </c>
      <c r="F14" s="12">
        <v>3922.4785363510978</v>
      </c>
    </row>
    <row r="15" spans="1:6" x14ac:dyDescent="0.3">
      <c r="A15" s="11" t="s">
        <v>93</v>
      </c>
      <c r="B15" s="11">
        <v>256</v>
      </c>
      <c r="D15" s="11">
        <v>7</v>
      </c>
      <c r="E15" s="11">
        <v>256</v>
      </c>
      <c r="F15" s="12">
        <v>3857.2944431511</v>
      </c>
    </row>
    <row r="16" spans="1:6" x14ac:dyDescent="0.3">
      <c r="A16" s="11" t="s">
        <v>93</v>
      </c>
      <c r="B16" s="11">
        <v>256</v>
      </c>
      <c r="D16" s="11">
        <v>10</v>
      </c>
      <c r="E16" s="11">
        <v>1024</v>
      </c>
      <c r="F16" s="12">
        <v>3818.6967197613535</v>
      </c>
    </row>
    <row r="17" spans="1:6" x14ac:dyDescent="0.3">
      <c r="A17" s="11" t="s">
        <v>94</v>
      </c>
      <c r="B17" s="11">
        <v>512</v>
      </c>
      <c r="D17" s="11">
        <v>5</v>
      </c>
      <c r="E17" s="11">
        <v>512</v>
      </c>
      <c r="F17" s="12">
        <v>4397.3437509765736</v>
      </c>
    </row>
    <row r="18" spans="1:6" x14ac:dyDescent="0.3">
      <c r="A18" s="11" t="s">
        <v>94</v>
      </c>
      <c r="B18" s="11">
        <v>512</v>
      </c>
      <c r="D18" s="11">
        <v>4</v>
      </c>
      <c r="E18" s="11">
        <v>512</v>
      </c>
      <c r="F18" s="12">
        <v>4276.3249687839862</v>
      </c>
    </row>
    <row r="19" spans="1:6" x14ac:dyDescent="0.3">
      <c r="A19" s="11" t="s">
        <v>94</v>
      </c>
      <c r="B19" s="11">
        <v>512</v>
      </c>
      <c r="D19" s="11">
        <v>5</v>
      </c>
      <c r="E19" s="11">
        <v>256</v>
      </c>
      <c r="F19" s="12">
        <v>4266.6726377154764</v>
      </c>
    </row>
    <row r="20" spans="1:6" x14ac:dyDescent="0.3">
      <c r="A20" s="11" t="s">
        <v>94</v>
      </c>
      <c r="B20" s="11">
        <v>512</v>
      </c>
      <c r="D20" s="11">
        <v>4</v>
      </c>
      <c r="E20" s="11">
        <v>256</v>
      </c>
      <c r="F20" s="12">
        <v>4242.3824296539551</v>
      </c>
    </row>
    <row r="21" spans="1:6" x14ac:dyDescent="0.3">
      <c r="A21" s="11" t="s">
        <v>94</v>
      </c>
      <c r="B21" s="11">
        <v>512</v>
      </c>
      <c r="D21" s="11">
        <v>4</v>
      </c>
      <c r="E21" s="11">
        <v>128</v>
      </c>
      <c r="F21" s="12">
        <v>4126.6852528974405</v>
      </c>
    </row>
    <row r="22" spans="1:6" x14ac:dyDescent="0.3">
      <c r="A22" s="11" t="s">
        <v>78</v>
      </c>
      <c r="B22" s="11">
        <v>256</v>
      </c>
      <c r="D22" s="11">
        <v>10</v>
      </c>
      <c r="E22" s="11">
        <v>512</v>
      </c>
      <c r="F22" s="12">
        <v>3902.2408935628787</v>
      </c>
    </row>
    <row r="23" spans="1:6" x14ac:dyDescent="0.3">
      <c r="A23" s="11" t="s">
        <v>78</v>
      </c>
      <c r="B23" s="11">
        <v>256</v>
      </c>
      <c r="D23" s="11">
        <v>10</v>
      </c>
      <c r="E23" s="11">
        <v>256</v>
      </c>
      <c r="F23" s="12">
        <v>3835.0290132431624</v>
      </c>
    </row>
    <row r="24" spans="1:6" x14ac:dyDescent="0.3">
      <c r="A24" s="11" t="s">
        <v>78</v>
      </c>
      <c r="B24" s="11">
        <v>256</v>
      </c>
      <c r="D24" s="11">
        <v>10</v>
      </c>
      <c r="E24" s="11">
        <v>128</v>
      </c>
      <c r="F24" s="12">
        <v>3707.3198606919846</v>
      </c>
    </row>
    <row r="25" spans="1:6" x14ac:dyDescent="0.3">
      <c r="A25" s="11" t="s">
        <v>78</v>
      </c>
      <c r="B25" s="11">
        <v>128</v>
      </c>
      <c r="D25" s="11">
        <v>8</v>
      </c>
      <c r="E25" s="11">
        <v>128</v>
      </c>
      <c r="F25" s="12">
        <v>3660.3295331821432</v>
      </c>
    </row>
    <row r="26" spans="1:6" x14ac:dyDescent="0.3">
      <c r="A26" s="11" t="s">
        <v>78</v>
      </c>
      <c r="B26" s="11">
        <v>512</v>
      </c>
      <c r="D26" s="11">
        <v>8</v>
      </c>
      <c r="E26" s="11">
        <v>128</v>
      </c>
      <c r="F26" s="12">
        <v>3643.6492710283528</v>
      </c>
    </row>
    <row r="27" spans="1:6" x14ac:dyDescent="0.3">
      <c r="A27" s="11" t="s">
        <v>79</v>
      </c>
      <c r="B27" s="11">
        <v>256</v>
      </c>
      <c r="D27" s="11">
        <v>5</v>
      </c>
      <c r="E27" s="11">
        <v>512</v>
      </c>
      <c r="F27" s="12">
        <v>4288.8013541178198</v>
      </c>
    </row>
    <row r="28" spans="1:6" x14ac:dyDescent="0.3">
      <c r="A28" s="11" t="s">
        <v>79</v>
      </c>
      <c r="B28" s="11">
        <v>512</v>
      </c>
      <c r="D28" s="11">
        <v>8</v>
      </c>
      <c r="E28" s="11">
        <v>512</v>
      </c>
      <c r="F28" s="12">
        <v>4254.1883148339411</v>
      </c>
    </row>
    <row r="29" spans="1:6" x14ac:dyDescent="0.3">
      <c r="A29" s="11" t="s">
        <v>79</v>
      </c>
      <c r="B29" s="11">
        <v>256</v>
      </c>
      <c r="D29" s="11">
        <v>5</v>
      </c>
      <c r="E29" s="11">
        <v>256</v>
      </c>
      <c r="F29" s="12">
        <v>4222.8468711585983</v>
      </c>
    </row>
    <row r="30" spans="1:6" x14ac:dyDescent="0.3">
      <c r="A30" s="11" t="s">
        <v>79</v>
      </c>
      <c r="B30" s="11">
        <v>512</v>
      </c>
      <c r="D30" s="11">
        <v>8</v>
      </c>
      <c r="E30" s="11">
        <v>256</v>
      </c>
      <c r="F30" s="12">
        <v>4142.6099460817049</v>
      </c>
    </row>
    <row r="31" spans="1:6" x14ac:dyDescent="0.3">
      <c r="A31" s="11" t="s">
        <v>79</v>
      </c>
      <c r="B31" s="11">
        <v>512</v>
      </c>
      <c r="D31" s="11">
        <v>3</v>
      </c>
      <c r="E31" s="11">
        <v>128</v>
      </c>
      <c r="F31" s="12">
        <v>4108.5163907459792</v>
      </c>
    </row>
    <row r="32" spans="1:6" x14ac:dyDescent="0.3">
      <c r="A32" s="11" t="s">
        <v>80</v>
      </c>
      <c r="B32" s="11">
        <v>512</v>
      </c>
      <c r="D32" s="11">
        <v>6</v>
      </c>
      <c r="E32" s="11">
        <v>512</v>
      </c>
      <c r="F32" s="12">
        <v>4443.0262668025862</v>
      </c>
    </row>
    <row r="33" spans="1:6" x14ac:dyDescent="0.3">
      <c r="A33" s="11" t="s">
        <v>80</v>
      </c>
      <c r="B33" s="11">
        <v>512</v>
      </c>
      <c r="D33" s="11">
        <v>2</v>
      </c>
      <c r="E33" s="11">
        <v>128</v>
      </c>
      <c r="F33" s="12">
        <v>4329.010607695729</v>
      </c>
    </row>
    <row r="34" spans="1:6" x14ac:dyDescent="0.3">
      <c r="A34" s="11" t="s">
        <v>80</v>
      </c>
      <c r="B34" s="11">
        <v>512</v>
      </c>
      <c r="D34" s="11">
        <v>6</v>
      </c>
      <c r="E34" s="11">
        <v>256</v>
      </c>
      <c r="F34" s="12">
        <v>4318.5781752333305</v>
      </c>
    </row>
    <row r="35" spans="1:6" x14ac:dyDescent="0.3">
      <c r="A35" s="11" t="s">
        <v>80</v>
      </c>
      <c r="B35" s="11">
        <v>256</v>
      </c>
      <c r="D35" s="11">
        <v>2</v>
      </c>
      <c r="E35" s="11">
        <v>128</v>
      </c>
      <c r="F35" s="12">
        <v>4292.0072723813237</v>
      </c>
    </row>
    <row r="36" spans="1:6" x14ac:dyDescent="0.3">
      <c r="A36" s="11" t="s">
        <v>80</v>
      </c>
      <c r="B36" s="11">
        <v>128</v>
      </c>
      <c r="D36" s="11">
        <v>2</v>
      </c>
      <c r="E36" s="11">
        <v>128</v>
      </c>
      <c r="F36" s="12">
        <v>4243.574872981987</v>
      </c>
    </row>
    <row r="37" spans="1:6" x14ac:dyDescent="0.3">
      <c r="A37" s="11" t="s">
        <v>81</v>
      </c>
      <c r="B37" s="11">
        <v>512</v>
      </c>
      <c r="D37" s="11">
        <v>4</v>
      </c>
      <c r="E37" s="11">
        <v>512</v>
      </c>
      <c r="F37" s="12">
        <v>4586.87987781641</v>
      </c>
    </row>
    <row r="38" spans="1:6" x14ac:dyDescent="0.3">
      <c r="A38" s="11" t="s">
        <v>81</v>
      </c>
      <c r="B38" s="11">
        <v>512</v>
      </c>
      <c r="D38" s="11">
        <v>5</v>
      </c>
      <c r="E38" s="11">
        <v>512</v>
      </c>
      <c r="F38" s="12">
        <v>4572.5428478022659</v>
      </c>
    </row>
    <row r="39" spans="1:6" x14ac:dyDescent="0.3">
      <c r="A39" s="11" t="s">
        <v>81</v>
      </c>
      <c r="B39" s="11">
        <v>128</v>
      </c>
      <c r="D39" s="11">
        <v>1</v>
      </c>
      <c r="E39" s="11">
        <v>128</v>
      </c>
      <c r="F39" s="12">
        <v>4555.6168361436921</v>
      </c>
    </row>
    <row r="40" spans="1:6" x14ac:dyDescent="0.3">
      <c r="A40" s="11" t="s">
        <v>81</v>
      </c>
      <c r="B40" s="11">
        <v>256</v>
      </c>
      <c r="D40" s="11">
        <v>1</v>
      </c>
      <c r="E40" s="11">
        <v>128</v>
      </c>
      <c r="F40" s="12">
        <v>4555.6168361436921</v>
      </c>
    </row>
    <row r="41" spans="1:6" x14ac:dyDescent="0.3">
      <c r="A41" s="11" t="s">
        <v>81</v>
      </c>
      <c r="B41" s="11">
        <v>512</v>
      </c>
      <c r="D41" s="11">
        <v>1</v>
      </c>
      <c r="E41" s="11">
        <v>128</v>
      </c>
      <c r="F41" s="12">
        <v>4542.9973989244572</v>
      </c>
    </row>
    <row r="42" spans="1:6" x14ac:dyDescent="0.3">
      <c r="A42" s="11" t="s">
        <v>71</v>
      </c>
      <c r="B42" s="11">
        <v>256</v>
      </c>
      <c r="D42" s="11">
        <v>10</v>
      </c>
      <c r="E42" s="11">
        <v>512</v>
      </c>
      <c r="F42" s="12">
        <v>4361.3280575114532</v>
      </c>
    </row>
    <row r="43" spans="1:6" x14ac:dyDescent="0.3">
      <c r="A43" s="11" t="s">
        <v>71</v>
      </c>
      <c r="B43" s="11">
        <v>256</v>
      </c>
      <c r="D43" s="11">
        <v>10</v>
      </c>
      <c r="E43" s="11">
        <v>256</v>
      </c>
      <c r="F43" s="12">
        <v>4286.2088971541234</v>
      </c>
    </row>
    <row r="44" spans="1:6" x14ac:dyDescent="0.3">
      <c r="A44" s="11" t="s">
        <v>71</v>
      </c>
      <c r="B44" s="11">
        <v>256</v>
      </c>
      <c r="D44" s="11">
        <v>10</v>
      </c>
      <c r="E44" s="11">
        <v>128</v>
      </c>
      <c r="F44" s="12">
        <v>4143.4751384204537</v>
      </c>
    </row>
    <row r="45" spans="1:6" x14ac:dyDescent="0.3">
      <c r="A45" s="11" t="s">
        <v>71</v>
      </c>
      <c r="B45" s="11">
        <v>128</v>
      </c>
      <c r="D45" s="11">
        <v>8</v>
      </c>
      <c r="E45" s="11">
        <v>128</v>
      </c>
      <c r="F45" s="12">
        <v>4090.9565370859245</v>
      </c>
    </row>
    <row r="46" spans="1:6" x14ac:dyDescent="0.3">
      <c r="A46" s="11" t="s">
        <v>71</v>
      </c>
      <c r="B46" s="11">
        <v>512</v>
      </c>
      <c r="D46" s="11">
        <v>8</v>
      </c>
      <c r="E46" s="11">
        <v>128</v>
      </c>
      <c r="F46" s="12">
        <v>4072.3138911493352</v>
      </c>
    </row>
    <row r="47" spans="1:6" x14ac:dyDescent="0.3">
      <c r="A47" s="11" t="s">
        <v>72</v>
      </c>
      <c r="B47" s="11">
        <v>512</v>
      </c>
      <c r="D47" s="11">
        <v>13</v>
      </c>
      <c r="E47" s="11">
        <v>128</v>
      </c>
      <c r="F47" s="12">
        <v>3576.6445391974539</v>
      </c>
    </row>
    <row r="48" spans="1:6" x14ac:dyDescent="0.3">
      <c r="A48" s="11" t="s">
        <v>72</v>
      </c>
      <c r="B48" s="11">
        <v>512</v>
      </c>
      <c r="D48" s="11">
        <v>13</v>
      </c>
      <c r="E48" s="11">
        <v>256</v>
      </c>
      <c r="F48" s="12">
        <v>3540.728394944208</v>
      </c>
    </row>
    <row r="49" spans="1:6" x14ac:dyDescent="0.3">
      <c r="A49" s="11" t="s">
        <v>72</v>
      </c>
      <c r="B49" s="11">
        <v>512</v>
      </c>
      <c r="D49" s="11">
        <v>14</v>
      </c>
      <c r="E49" s="11">
        <v>128</v>
      </c>
      <c r="F49" s="12">
        <v>3528.0938709433203</v>
      </c>
    </row>
    <row r="50" spans="1:6" x14ac:dyDescent="0.3">
      <c r="A50" s="11" t="s">
        <v>72</v>
      </c>
      <c r="B50" s="11">
        <v>512</v>
      </c>
      <c r="D50" s="11">
        <v>14</v>
      </c>
      <c r="E50" s="11">
        <v>256</v>
      </c>
      <c r="F50" s="12">
        <v>3504.5684278757526</v>
      </c>
    </row>
    <row r="51" spans="1:6" x14ac:dyDescent="0.3">
      <c r="A51" s="11" t="s">
        <v>72</v>
      </c>
      <c r="B51" s="11">
        <v>128</v>
      </c>
      <c r="D51" s="11">
        <v>15</v>
      </c>
      <c r="E51" s="11">
        <v>1024</v>
      </c>
      <c r="F51" s="12">
        <v>3464.6477248189208</v>
      </c>
    </row>
    <row r="52" spans="1:6" x14ac:dyDescent="0.3">
      <c r="A52" s="11" t="s">
        <v>73</v>
      </c>
      <c r="B52" s="11">
        <v>256</v>
      </c>
      <c r="D52" s="11">
        <v>10</v>
      </c>
      <c r="E52" s="11">
        <v>512</v>
      </c>
      <c r="F52" s="12">
        <v>3787.4691025757352</v>
      </c>
    </row>
    <row r="53" spans="1:6" x14ac:dyDescent="0.3">
      <c r="A53" s="11" t="s">
        <v>73</v>
      </c>
      <c r="B53" s="11">
        <v>256</v>
      </c>
      <c r="D53" s="11">
        <v>10</v>
      </c>
      <c r="E53" s="11">
        <v>256</v>
      </c>
      <c r="F53" s="12">
        <v>3722.2340422654229</v>
      </c>
    </row>
    <row r="54" spans="1:6" x14ac:dyDescent="0.3">
      <c r="A54" s="11" t="s">
        <v>73</v>
      </c>
      <c r="B54" s="11">
        <v>256</v>
      </c>
      <c r="D54" s="11">
        <v>10</v>
      </c>
      <c r="E54" s="11">
        <v>128</v>
      </c>
      <c r="F54" s="12">
        <v>3598.2810412598678</v>
      </c>
    </row>
    <row r="55" spans="1:6" x14ac:dyDescent="0.3">
      <c r="A55" s="11" t="s">
        <v>73</v>
      </c>
      <c r="B55" s="11">
        <v>512</v>
      </c>
      <c r="D55" s="11">
        <v>7</v>
      </c>
      <c r="E55" s="11">
        <v>128</v>
      </c>
      <c r="F55" s="12">
        <v>3597.3464949841514</v>
      </c>
    </row>
    <row r="56" spans="1:6" x14ac:dyDescent="0.3">
      <c r="A56" s="11" t="s">
        <v>73</v>
      </c>
      <c r="B56" s="11">
        <v>128</v>
      </c>
      <c r="D56" s="11">
        <v>8</v>
      </c>
      <c r="E56" s="11">
        <v>128</v>
      </c>
      <c r="F56" s="12">
        <v>3552.6727822061976</v>
      </c>
    </row>
    <row r="57" spans="1:6" x14ac:dyDescent="0.3">
      <c r="A57" s="11" t="s">
        <v>74</v>
      </c>
      <c r="B57" s="11">
        <v>512</v>
      </c>
      <c r="D57" s="11">
        <v>8</v>
      </c>
      <c r="E57" s="11">
        <v>512</v>
      </c>
      <c r="F57" s="12">
        <v>3237.1520413167891</v>
      </c>
    </row>
    <row r="58" spans="1:6" x14ac:dyDescent="0.3">
      <c r="A58" s="11" t="s">
        <v>74</v>
      </c>
      <c r="B58" s="11">
        <v>512</v>
      </c>
      <c r="D58" s="11">
        <v>8</v>
      </c>
      <c r="E58" s="11">
        <v>256</v>
      </c>
      <c r="F58" s="12">
        <v>3152.2483846277696</v>
      </c>
    </row>
    <row r="59" spans="1:6" x14ac:dyDescent="0.3">
      <c r="A59" s="11" t="s">
        <v>74</v>
      </c>
      <c r="B59" s="11">
        <v>512</v>
      </c>
      <c r="D59" s="11">
        <v>8</v>
      </c>
      <c r="E59" s="11">
        <v>128</v>
      </c>
      <c r="F59" s="12">
        <v>2995.1361993719365</v>
      </c>
    </row>
    <row r="60" spans="1:6" x14ac:dyDescent="0.3">
      <c r="A60" s="11" t="s">
        <v>74</v>
      </c>
      <c r="B60" s="11">
        <v>512</v>
      </c>
      <c r="D60" s="11">
        <v>6</v>
      </c>
      <c r="E60" s="11">
        <v>128</v>
      </c>
      <c r="F60" s="12">
        <v>2975.9795208084251</v>
      </c>
    </row>
    <row r="61" spans="1:6" x14ac:dyDescent="0.3">
      <c r="A61" s="11" t="s">
        <v>74</v>
      </c>
      <c r="B61" s="11">
        <v>512</v>
      </c>
      <c r="D61" s="11">
        <v>7</v>
      </c>
      <c r="E61" s="11">
        <v>128</v>
      </c>
      <c r="F61" s="12">
        <v>2939.7772971938921</v>
      </c>
    </row>
    <row r="62" spans="1:6" x14ac:dyDescent="0.3">
      <c r="A62" s="11" t="s">
        <v>82</v>
      </c>
      <c r="B62" s="11">
        <v>32</v>
      </c>
      <c r="C62" s="11">
        <v>32</v>
      </c>
      <c r="D62" s="11">
        <v>4</v>
      </c>
      <c r="E62" s="11">
        <v>128</v>
      </c>
      <c r="F62" s="12">
        <v>1221.7921229345857</v>
      </c>
    </row>
    <row r="63" spans="1:6" x14ac:dyDescent="0.3">
      <c r="A63" s="11" t="s">
        <v>82</v>
      </c>
      <c r="B63" s="11">
        <v>32</v>
      </c>
      <c r="C63" s="11">
        <v>32</v>
      </c>
      <c r="D63" s="11">
        <v>4</v>
      </c>
      <c r="E63" s="11">
        <v>256</v>
      </c>
      <c r="F63" s="12">
        <v>1171.9293591298967</v>
      </c>
    </row>
    <row r="64" spans="1:6" x14ac:dyDescent="0.3">
      <c r="A64" s="11" t="s">
        <v>82</v>
      </c>
      <c r="B64" s="11">
        <v>64</v>
      </c>
      <c r="C64" s="11">
        <v>16</v>
      </c>
      <c r="D64" s="11">
        <v>4</v>
      </c>
      <c r="E64" s="11">
        <v>128</v>
      </c>
      <c r="F64" s="12">
        <v>1056.758785751671</v>
      </c>
    </row>
    <row r="65" spans="1:6" x14ac:dyDescent="0.3">
      <c r="A65" s="11" t="s">
        <v>82</v>
      </c>
      <c r="B65" s="11">
        <v>64</v>
      </c>
      <c r="C65" s="11">
        <v>16</v>
      </c>
      <c r="D65" s="11">
        <v>4</v>
      </c>
      <c r="E65" s="11">
        <v>256</v>
      </c>
      <c r="F65" s="12">
        <v>1033.794881907686</v>
      </c>
    </row>
    <row r="66" spans="1:6" x14ac:dyDescent="0.3">
      <c r="A66" s="11" t="s">
        <v>82</v>
      </c>
      <c r="B66" s="11">
        <v>32</v>
      </c>
      <c r="C66" s="11">
        <v>32</v>
      </c>
      <c r="D66" s="11">
        <v>3</v>
      </c>
      <c r="E66" s="11">
        <v>128</v>
      </c>
      <c r="F66" s="12">
        <v>1015.1021447458201</v>
      </c>
    </row>
    <row r="67" spans="1:6" x14ac:dyDescent="0.3">
      <c r="A67" s="11" t="s">
        <v>83</v>
      </c>
      <c r="B67" s="11">
        <v>32</v>
      </c>
      <c r="C67" s="11">
        <v>32</v>
      </c>
      <c r="D67" s="11">
        <v>3</v>
      </c>
      <c r="E67" s="11">
        <v>128</v>
      </c>
      <c r="F67" s="12">
        <v>1485.9749564871624</v>
      </c>
    </row>
    <row r="68" spans="1:6" x14ac:dyDescent="0.3">
      <c r="A68" s="11" t="s">
        <v>83</v>
      </c>
      <c r="B68" s="11">
        <v>32</v>
      </c>
      <c r="C68" s="11">
        <v>32</v>
      </c>
      <c r="D68" s="11">
        <v>3</v>
      </c>
      <c r="E68" s="11">
        <v>256</v>
      </c>
      <c r="F68" s="12">
        <v>1451.4461172112221</v>
      </c>
    </row>
    <row r="69" spans="1:6" x14ac:dyDescent="0.3">
      <c r="A69" s="11" t="s">
        <v>83</v>
      </c>
      <c r="B69" s="11">
        <v>32</v>
      </c>
      <c r="C69" s="11">
        <v>32</v>
      </c>
      <c r="D69" s="11">
        <v>2</v>
      </c>
      <c r="E69" s="11">
        <v>128</v>
      </c>
      <c r="F69" s="12">
        <v>1267.8901727525852</v>
      </c>
    </row>
    <row r="70" spans="1:6" x14ac:dyDescent="0.3">
      <c r="A70" s="11" t="s">
        <v>83</v>
      </c>
      <c r="B70" s="11">
        <v>32</v>
      </c>
      <c r="C70" s="11">
        <v>32</v>
      </c>
      <c r="D70" s="11">
        <v>2</v>
      </c>
      <c r="E70" s="11">
        <v>256</v>
      </c>
      <c r="F70" s="12">
        <v>1204.2972551439727</v>
      </c>
    </row>
    <row r="71" spans="1:6" x14ac:dyDescent="0.3">
      <c r="A71" s="11" t="s">
        <v>83</v>
      </c>
      <c r="B71" s="11">
        <v>64</v>
      </c>
      <c r="C71" s="11">
        <v>16</v>
      </c>
      <c r="D71" s="11">
        <v>2</v>
      </c>
      <c r="E71" s="11">
        <v>128</v>
      </c>
      <c r="F71" s="12">
        <v>1141.0620196322989</v>
      </c>
    </row>
    <row r="72" spans="1:6" x14ac:dyDescent="0.3">
      <c r="A72" s="11" t="s">
        <v>84</v>
      </c>
      <c r="B72" s="11">
        <v>32</v>
      </c>
      <c r="C72" s="11">
        <v>32</v>
      </c>
      <c r="D72" s="11">
        <v>2</v>
      </c>
      <c r="E72" s="11">
        <v>128</v>
      </c>
      <c r="F72" s="12">
        <v>1572.8484402740478</v>
      </c>
    </row>
    <row r="73" spans="1:6" x14ac:dyDescent="0.3">
      <c r="A73" s="11" t="s">
        <v>84</v>
      </c>
      <c r="B73" s="11">
        <v>32</v>
      </c>
      <c r="C73" s="11">
        <v>32</v>
      </c>
      <c r="D73" s="11">
        <v>2</v>
      </c>
      <c r="E73" s="11">
        <v>256</v>
      </c>
      <c r="F73" s="12">
        <v>1527.8517654793261</v>
      </c>
    </row>
    <row r="74" spans="1:6" x14ac:dyDescent="0.3">
      <c r="A74" s="11" t="s">
        <v>84</v>
      </c>
      <c r="B74" s="11">
        <v>64</v>
      </c>
      <c r="C74" s="11">
        <v>16</v>
      </c>
      <c r="D74" s="11">
        <v>1</v>
      </c>
      <c r="E74" s="11">
        <v>128</v>
      </c>
      <c r="F74" s="12">
        <v>1112.3355556145191</v>
      </c>
    </row>
    <row r="75" spans="1:6" x14ac:dyDescent="0.3">
      <c r="A75" s="11" t="s">
        <v>84</v>
      </c>
      <c r="B75" s="11">
        <v>32</v>
      </c>
      <c r="C75" s="11">
        <v>32</v>
      </c>
      <c r="D75" s="11">
        <v>1</v>
      </c>
      <c r="E75" s="11">
        <v>128</v>
      </c>
      <c r="F75" s="12">
        <v>1108.077529093357</v>
      </c>
    </row>
    <row r="76" spans="1:6" x14ac:dyDescent="0.3">
      <c r="A76" s="11" t="s">
        <v>84</v>
      </c>
      <c r="B76" s="11">
        <v>64</v>
      </c>
      <c r="C76" s="11">
        <v>16</v>
      </c>
      <c r="D76" s="11">
        <v>2</v>
      </c>
      <c r="E76" s="11">
        <v>128</v>
      </c>
      <c r="F76" s="12">
        <v>1102.6077255465125</v>
      </c>
    </row>
    <row r="77" spans="1:6" x14ac:dyDescent="0.3">
      <c r="A77" s="11" t="s">
        <v>85</v>
      </c>
      <c r="B77" s="11">
        <v>32</v>
      </c>
      <c r="C77" s="11">
        <v>32</v>
      </c>
      <c r="D77" s="11">
        <v>1</v>
      </c>
      <c r="E77" s="11">
        <v>128</v>
      </c>
      <c r="F77" s="12">
        <v>1432.35872274552</v>
      </c>
    </row>
    <row r="78" spans="1:6" x14ac:dyDescent="0.3">
      <c r="A78" s="11" t="s">
        <v>85</v>
      </c>
      <c r="B78" s="11">
        <v>64</v>
      </c>
      <c r="C78" s="11">
        <v>16</v>
      </c>
      <c r="D78" s="11">
        <v>1</v>
      </c>
      <c r="E78" s="11">
        <v>128</v>
      </c>
      <c r="F78" s="12">
        <v>1425.1069384476352</v>
      </c>
    </row>
    <row r="79" spans="1:6" x14ac:dyDescent="0.3">
      <c r="A79" s="11" t="s">
        <v>85</v>
      </c>
      <c r="B79" s="11">
        <v>64</v>
      </c>
      <c r="C79" s="11">
        <v>16</v>
      </c>
      <c r="D79" s="11">
        <v>1</v>
      </c>
      <c r="E79" s="11">
        <v>256</v>
      </c>
      <c r="F79" s="12">
        <v>1371.4588625069023</v>
      </c>
    </row>
    <row r="80" spans="1:6" x14ac:dyDescent="0.3">
      <c r="A80" s="11" t="s">
        <v>85</v>
      </c>
      <c r="B80" s="11">
        <v>32</v>
      </c>
      <c r="C80" s="11">
        <v>32</v>
      </c>
      <c r="D80" s="11">
        <v>1</v>
      </c>
      <c r="E80" s="11">
        <v>256</v>
      </c>
      <c r="F80" s="12">
        <v>1353.6761975687682</v>
      </c>
    </row>
    <row r="81" spans="1:6" x14ac:dyDescent="0.3">
      <c r="A81" s="11" t="s">
        <v>85</v>
      </c>
      <c r="B81" s="11">
        <v>32</v>
      </c>
      <c r="C81" s="11">
        <v>16</v>
      </c>
      <c r="D81" s="11">
        <v>1</v>
      </c>
      <c r="E81" s="11">
        <v>128</v>
      </c>
      <c r="F81" s="12">
        <v>1318.2009247583019</v>
      </c>
    </row>
    <row r="82" spans="1:6" x14ac:dyDescent="0.3">
      <c r="A82" s="11" t="s">
        <v>86</v>
      </c>
      <c r="B82" s="11">
        <v>32</v>
      </c>
      <c r="C82" s="11">
        <v>32</v>
      </c>
      <c r="D82" s="11">
        <v>3</v>
      </c>
      <c r="E82" s="11">
        <v>128</v>
      </c>
      <c r="F82" s="12">
        <v>4014.7634092031149</v>
      </c>
    </row>
    <row r="83" spans="1:6" x14ac:dyDescent="0.3">
      <c r="A83" s="11" t="s">
        <v>86</v>
      </c>
      <c r="B83" s="11">
        <v>32</v>
      </c>
      <c r="C83" s="11">
        <v>32</v>
      </c>
      <c r="D83" s="11">
        <v>3</v>
      </c>
      <c r="E83" s="11">
        <v>256</v>
      </c>
      <c r="F83" s="12">
        <v>3795.1134871015211</v>
      </c>
    </row>
    <row r="84" spans="1:6" x14ac:dyDescent="0.3">
      <c r="A84" s="11" t="s">
        <v>86</v>
      </c>
      <c r="B84" s="11">
        <v>64</v>
      </c>
      <c r="C84" s="11">
        <v>16</v>
      </c>
      <c r="D84" s="11">
        <v>3</v>
      </c>
      <c r="E84" s="11">
        <v>128</v>
      </c>
      <c r="F84" s="12">
        <v>3741.4752602186268</v>
      </c>
    </row>
    <row r="85" spans="1:6" x14ac:dyDescent="0.3">
      <c r="A85" s="11" t="s">
        <v>86</v>
      </c>
      <c r="B85" s="11">
        <v>32</v>
      </c>
      <c r="C85" s="11">
        <v>32</v>
      </c>
      <c r="D85" s="11">
        <v>4</v>
      </c>
      <c r="E85" s="11">
        <v>128</v>
      </c>
      <c r="F85" s="12">
        <v>3599.5366743843065</v>
      </c>
    </row>
    <row r="86" spans="1:6" x14ac:dyDescent="0.3">
      <c r="A86" s="11" t="s">
        <v>86</v>
      </c>
      <c r="B86" s="11">
        <v>64</v>
      </c>
      <c r="C86" s="11">
        <v>16</v>
      </c>
      <c r="D86" s="11">
        <v>3</v>
      </c>
      <c r="E86" s="11">
        <v>256</v>
      </c>
      <c r="F86" s="12">
        <v>3564.0054244602125</v>
      </c>
    </row>
    <row r="87" spans="1:6" x14ac:dyDescent="0.3">
      <c r="A87" s="11" t="s">
        <v>87</v>
      </c>
      <c r="B87" s="11">
        <v>16</v>
      </c>
      <c r="C87" s="11">
        <v>16</v>
      </c>
      <c r="D87" s="11">
        <v>1</v>
      </c>
      <c r="E87" s="11">
        <v>128</v>
      </c>
      <c r="F87" s="12">
        <v>4780.8011266291269</v>
      </c>
    </row>
    <row r="88" spans="1:6" x14ac:dyDescent="0.3">
      <c r="A88" s="11" t="s">
        <v>87</v>
      </c>
      <c r="B88" s="11">
        <v>32</v>
      </c>
      <c r="C88" s="11">
        <v>16</v>
      </c>
      <c r="D88" s="11">
        <v>1</v>
      </c>
      <c r="E88" s="11">
        <v>128</v>
      </c>
      <c r="F88" s="12">
        <v>4740.9611172405512</v>
      </c>
    </row>
    <row r="89" spans="1:6" x14ac:dyDescent="0.3">
      <c r="A89" s="11" t="s">
        <v>87</v>
      </c>
      <c r="B89" s="11">
        <v>64</v>
      </c>
      <c r="C89" s="11">
        <v>16</v>
      </c>
      <c r="D89" s="11">
        <v>1</v>
      </c>
      <c r="E89" s="11">
        <v>128</v>
      </c>
      <c r="F89" s="12">
        <v>4716.7725401117723</v>
      </c>
    </row>
    <row r="90" spans="1:6" x14ac:dyDescent="0.3">
      <c r="A90" s="11" t="s">
        <v>87</v>
      </c>
      <c r="B90" s="11">
        <v>32</v>
      </c>
      <c r="C90" s="11">
        <v>32</v>
      </c>
      <c r="D90" s="11">
        <v>1</v>
      </c>
      <c r="E90" s="11">
        <v>128</v>
      </c>
      <c r="F90" s="12">
        <v>4688.8626434247208</v>
      </c>
    </row>
    <row r="91" spans="1:6" x14ac:dyDescent="0.3">
      <c r="A91" s="11" t="s">
        <v>87</v>
      </c>
      <c r="B91" s="11">
        <v>16</v>
      </c>
      <c r="C91" s="11">
        <v>16</v>
      </c>
      <c r="D91" s="11">
        <v>1</v>
      </c>
      <c r="E91" s="11">
        <v>256</v>
      </c>
      <c r="F91" s="12">
        <v>4515.2010640386197</v>
      </c>
    </row>
    <row r="92" spans="1:6" x14ac:dyDescent="0.3">
      <c r="A92" s="11" t="s">
        <v>88</v>
      </c>
      <c r="B92" s="11">
        <v>16</v>
      </c>
      <c r="C92" s="11">
        <v>16</v>
      </c>
      <c r="D92" s="11">
        <v>1</v>
      </c>
      <c r="E92" s="11">
        <v>128</v>
      </c>
      <c r="F92" s="12">
        <v>4939.4239083094562</v>
      </c>
    </row>
    <row r="93" spans="1:6" x14ac:dyDescent="0.3">
      <c r="A93" s="11" t="s">
        <v>88</v>
      </c>
      <c r="B93" s="11">
        <v>32</v>
      </c>
      <c r="C93" s="11">
        <v>16</v>
      </c>
      <c r="D93" s="11">
        <v>1</v>
      </c>
      <c r="E93" s="11">
        <v>128</v>
      </c>
      <c r="F93" s="12">
        <v>4874.4314884632777</v>
      </c>
    </row>
    <row r="94" spans="1:6" x14ac:dyDescent="0.3">
      <c r="A94" s="11" t="s">
        <v>88</v>
      </c>
      <c r="B94" s="11">
        <v>64</v>
      </c>
      <c r="C94" s="11">
        <v>16</v>
      </c>
      <c r="D94" s="11">
        <v>1</v>
      </c>
      <c r="E94" s="11">
        <v>128</v>
      </c>
      <c r="F94" s="12">
        <v>4842.5724591269172</v>
      </c>
    </row>
    <row r="95" spans="1:6" x14ac:dyDescent="0.3">
      <c r="A95" s="11" t="s">
        <v>88</v>
      </c>
      <c r="B95" s="11">
        <v>32</v>
      </c>
      <c r="C95" s="11">
        <v>32</v>
      </c>
      <c r="D95" s="11">
        <v>1</v>
      </c>
      <c r="E95" s="11">
        <v>128</v>
      </c>
      <c r="F95" s="12">
        <v>4802.2176886341931</v>
      </c>
    </row>
    <row r="96" spans="1:6" x14ac:dyDescent="0.3">
      <c r="A96" s="11" t="s">
        <v>88</v>
      </c>
      <c r="B96" s="11">
        <v>16</v>
      </c>
      <c r="C96" s="11">
        <v>16</v>
      </c>
      <c r="D96" s="11">
        <v>1</v>
      </c>
      <c r="E96" s="11">
        <v>256</v>
      </c>
      <c r="F96" s="12">
        <v>4749.4460656821684</v>
      </c>
    </row>
    <row r="97" spans="1:6" x14ac:dyDescent="0.3">
      <c r="A97" s="11" t="s">
        <v>89</v>
      </c>
      <c r="B97" s="11">
        <v>16</v>
      </c>
      <c r="C97" s="11">
        <v>16</v>
      </c>
      <c r="D97" s="11">
        <v>1</v>
      </c>
      <c r="E97" s="11">
        <v>128</v>
      </c>
      <c r="F97" s="12">
        <v>5022.9537426155939</v>
      </c>
    </row>
    <row r="98" spans="1:6" x14ac:dyDescent="0.3">
      <c r="A98" s="11" t="s">
        <v>89</v>
      </c>
      <c r="B98" s="11">
        <v>32</v>
      </c>
      <c r="C98" s="11">
        <v>16</v>
      </c>
      <c r="D98" s="11">
        <v>1</v>
      </c>
      <c r="E98" s="11">
        <v>128</v>
      </c>
      <c r="F98" s="12">
        <v>4963.9233033327182</v>
      </c>
    </row>
    <row r="99" spans="1:6" x14ac:dyDescent="0.3">
      <c r="A99" s="11" t="s">
        <v>89</v>
      </c>
      <c r="B99" s="11">
        <v>64</v>
      </c>
      <c r="C99" s="11">
        <v>16</v>
      </c>
      <c r="D99" s="11">
        <v>1</v>
      </c>
      <c r="E99" s="11">
        <v>128</v>
      </c>
      <c r="F99" s="12">
        <v>4938.0245730544602</v>
      </c>
    </row>
    <row r="100" spans="1:6" x14ac:dyDescent="0.3">
      <c r="A100" s="11" t="s">
        <v>89</v>
      </c>
      <c r="B100" s="11">
        <v>16</v>
      </c>
      <c r="C100" s="11">
        <v>16</v>
      </c>
      <c r="D100" s="11">
        <v>1</v>
      </c>
      <c r="E100" s="11">
        <v>256</v>
      </c>
      <c r="F100" s="12">
        <v>4890.7707493888665</v>
      </c>
    </row>
    <row r="101" spans="1:6" x14ac:dyDescent="0.3">
      <c r="A101" s="11" t="s">
        <v>89</v>
      </c>
      <c r="B101" s="11">
        <v>32</v>
      </c>
      <c r="C101" s="11">
        <v>32</v>
      </c>
      <c r="D101" s="11">
        <v>1</v>
      </c>
      <c r="E101" s="11">
        <v>128</v>
      </c>
      <c r="F101" s="12">
        <v>4875.675777940135</v>
      </c>
    </row>
    <row r="102" spans="1:6" x14ac:dyDescent="0.3">
      <c r="A102" s="11" t="s">
        <v>75</v>
      </c>
      <c r="B102" s="11">
        <v>32</v>
      </c>
      <c r="C102" s="11">
        <v>32</v>
      </c>
      <c r="D102" s="11">
        <v>3</v>
      </c>
      <c r="E102" s="11">
        <v>128</v>
      </c>
      <c r="F102" s="12">
        <v>3954.1632068000476</v>
      </c>
    </row>
    <row r="103" spans="1:6" x14ac:dyDescent="0.3">
      <c r="A103" s="11" t="s">
        <v>75</v>
      </c>
      <c r="B103" s="11">
        <v>32</v>
      </c>
      <c r="C103" s="11">
        <v>32</v>
      </c>
      <c r="D103" s="11">
        <v>3</v>
      </c>
      <c r="E103" s="11">
        <v>256</v>
      </c>
      <c r="F103" s="12">
        <v>3737.8287552207421</v>
      </c>
    </row>
    <row r="104" spans="1:6" x14ac:dyDescent="0.3">
      <c r="A104" s="11" t="s">
        <v>75</v>
      </c>
      <c r="B104" s="11">
        <v>64</v>
      </c>
      <c r="C104" s="11">
        <v>16</v>
      </c>
      <c r="D104" s="11">
        <v>3</v>
      </c>
      <c r="E104" s="11">
        <v>128</v>
      </c>
      <c r="F104" s="12">
        <v>3685.0001619511754</v>
      </c>
    </row>
    <row r="105" spans="1:6" x14ac:dyDescent="0.3">
      <c r="A105" s="11" t="s">
        <v>75</v>
      </c>
      <c r="B105" s="11">
        <v>32</v>
      </c>
      <c r="C105" s="11">
        <v>32</v>
      </c>
      <c r="D105" s="11">
        <v>4</v>
      </c>
      <c r="E105" s="11">
        <v>128</v>
      </c>
      <c r="F105" s="12">
        <v>3545.2040453369955</v>
      </c>
    </row>
    <row r="106" spans="1:6" x14ac:dyDescent="0.3">
      <c r="A106" s="11" t="s">
        <v>75</v>
      </c>
      <c r="B106" s="11">
        <v>64</v>
      </c>
      <c r="C106" s="11">
        <v>16</v>
      </c>
      <c r="D106" s="11">
        <v>3</v>
      </c>
      <c r="E106" s="11">
        <v>256</v>
      </c>
      <c r="F106" s="12">
        <v>3510.209116166473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GPUs</vt:lpstr>
      <vt:lpstr>Formula</vt:lpstr>
      <vt:lpstr>Macro</vt:lpstr>
      <vt:lpstr>Float Results</vt:lpstr>
      <vt:lpstr>Double Results</vt:lpstr>
      <vt:lpstr>Parameter Sweep</vt:lpstr>
      <vt:lpstr>Top Float</vt:lpstr>
      <vt:lpstr>Top Double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2019-04-10T04:28:26Z</dcterms:created>
  <dcterms:modified xsi:type="dcterms:W3CDTF">2019-04-10T04:28:45Z</dcterms:modified>
</cp:coreProperties>
</file>